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Ejecución" sheetId="2" state="visible" r:id="rId4"/>
  </sheets>
  <definedNames>
    <definedName function="false" hidden="true" localSheetId="1" name="_xlnm._FilterDatabase" vbProcedure="false">Ejecución!$A$1:$N$35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<sst xmlns="http://schemas.openxmlformats.org/spreadsheetml/2006/main" count="507" uniqueCount="213">
  <si>
    <t xml:space="preserve">Matriz de ejecución de pruebas – Prueba técnica QA Full Stack (Makers)</t>
  </si>
  <si>
    <t xml:space="preserve">Andrea Rivera Amador · Ejecución: 09/10/2026 · Los estados se calculan desde la hoja Ejecución.</t>
  </si>
  <si>
    <t xml:space="preserve">Módulo</t>
  </si>
  <si>
    <t xml:space="preserve">Total</t>
  </si>
  <si>
    <t xml:space="preserve">Pasó</t>
  </si>
  <si>
    <t xml:space="preserve">Falló</t>
  </si>
  <si>
    <t xml:space="preserve">No ejecutado</t>
  </si>
  <si>
    <t xml:space="preserve">% aprobación (ejecutados)</t>
  </si>
  <si>
    <t xml:space="preserve">API</t>
  </si>
  <si>
    <t xml:space="preserve">Automatización UI (SauceDemo)</t>
  </si>
  <si>
    <t xml:space="preserve">Funcional (MakersPay)</t>
  </si>
  <si>
    <t xml:space="preserve">Notas:</t>
  </si>
  <si>
    <t xml:space="preserve">• API: 2 casos fallan por hallazgos documentados (H-01 limitación del entorno mock, H-02 seguridad). En pytest están marcados como xfail.</t>
  </si>
  <si>
    <t xml:space="preserve">• Automatización UI: CP-UI-03 se ejecuta con 3 combinaciones (a, b, c) mediante parametrize.</t>
  </si>
  <si>
    <t xml:space="preserve">• Funcional: MakersPay es un producto ficticio del enunciado; los casos están diseñados y listos para ejecutarse, no fueron ejecutados.</t>
  </si>
  <si>
    <t xml:space="preserve">• Evidencias: capturas en evidencias/capturas y reporte HTML en evidencias/reporte_completo.html.</t>
  </si>
  <si>
    <t xml:space="preserve">ID</t>
  </si>
  <si>
    <t xml:space="preserve">Caso de prueba</t>
  </si>
  <si>
    <t xml:space="preserve">Precondiciones</t>
  </si>
  <si>
    <t xml:space="preserve">Pasos</t>
  </si>
  <si>
    <t xml:space="preserve">Datos de prueba</t>
  </si>
  <si>
    <t xml:space="preserve">Resultado esperado</t>
  </si>
  <si>
    <t xml:space="preserve">Resultado obtenido</t>
  </si>
  <si>
    <t xml:space="preserve">Estado</t>
  </si>
  <si>
    <t xml:space="preserve">Tipo de ejecución</t>
  </si>
  <si>
    <t xml:space="preserve">Fecha de ejecución</t>
  </si>
  <si>
    <t xml:space="preserve">Evidencia</t>
  </si>
  <si>
    <t xml:space="preserve">Hallazgo / Issue</t>
  </si>
  <si>
    <t xml:space="preserve">Prioridad</t>
  </si>
  <si>
    <t xml:space="preserve">CP-API-01</t>
  </si>
  <si>
    <t xml:space="preserve">Crear usuario (POST)</t>
  </si>
  <si>
    <t xml:space="preserve">Clave x-api-key válida</t>
  </si>
  <si>
    <t xml:space="preserve">POST /api/users</t>
  </si>
  <si>
    <t xml:space="preserve">name: Test User · job: Automation Engineer</t>
  </si>
  <si>
    <t xml:space="preserve">201 Created con name, job e id</t>
  </si>
  <si>
    <t xml:space="preserve">201 Created · id "365" · createdAt</t>
  </si>
  <si>
    <t xml:space="preserve">Manual (Postman) + Automatizada (pytest)</t>
  </si>
  <si>
    <t xml:space="preserve">09/10/2026</t>
  </si>
  <si>
    <t xml:space="preserve">evidencias/EVIDENCIAS_API.md · capturas/01</t>
  </si>
  <si>
    <t xml:space="preserve">H-03 (#3)</t>
  </si>
  <si>
    <t xml:space="preserve">Alta</t>
  </si>
  <si>
    <t xml:space="preserve">CP-API-02</t>
  </si>
  <si>
    <t xml:space="preserve">Consultar usuario creado (GET)</t>
  </si>
  <si>
    <t xml:space="preserve">CP-API-01 ejecutado</t>
  </si>
  <si>
    <t xml:space="preserve">1. POST /api/users 2. Extraer id 3. GET /api/users/{id}</t>
  </si>
  <si>
    <t xml:space="preserve">id devuelto por el POST</t>
  </si>
  <si>
    <t xml:space="preserve">200 OK con name y job iguales a los enviados</t>
  </si>
  <si>
    <t xml:space="preserve">404 Not Found · body {}</t>
  </si>
  <si>
    <t xml:space="preserve">Manual (Postman) + Automatizada (pytest, xfail)</t>
  </si>
  <si>
    <t xml:space="preserve">evidencias/EVIDENCIAS_API.md · capturas/02</t>
  </si>
  <si>
    <t xml:space="preserve">H-01 (#2)</t>
  </si>
  <si>
    <t xml:space="preserve">CP-API-03</t>
  </si>
  <si>
    <t xml:space="preserve">Consultar usuario existente (GET)</t>
  </si>
  <si>
    <t xml:space="preserve">GET /api/users/2</t>
  </si>
  <si>
    <t xml:space="preserve">id = 2</t>
  </si>
  <si>
    <t xml:space="preserve">200 OK con id, email, first_name, last_name, avatar</t>
  </si>
  <si>
    <t xml:space="preserve">200 OK · Janet Weaver con todos sus campos</t>
  </si>
  <si>
    <t xml:space="preserve">evidencias/EVIDENCIAS_API.md · capturas/03</t>
  </si>
  <si>
    <t xml:space="preserve">Media</t>
  </si>
  <si>
    <t xml:space="preserve">CP-API-04</t>
  </si>
  <si>
    <t xml:space="preserve">Consultar usuario inexistente (GET)</t>
  </si>
  <si>
    <t xml:space="preserve">GET /api/users/23 y /api/users/999</t>
  </si>
  <si>
    <t xml:space="preserve">id = 23 · id = 999</t>
  </si>
  <si>
    <t xml:space="preserve">404 Not Found</t>
  </si>
  <si>
    <t xml:space="preserve">evidencias/EVIDENCIAS_API.md · capturas/04</t>
  </si>
  <si>
    <t xml:space="preserve">H-04 (#4)</t>
  </si>
  <si>
    <t xml:space="preserve">CP-API-05</t>
  </si>
  <si>
    <t xml:space="preserve">Crear usuario sin API key (POST)</t>
  </si>
  <si>
    <t xml:space="preserve">Sin header x-api-key</t>
  </si>
  <si>
    <t xml:space="preserve">POST /api/users sin x-api-key</t>
  </si>
  <si>
    <t xml:space="preserve">401 Unauthorized o 403 Forbidden</t>
  </si>
  <si>
    <t xml:space="preserve">201 Created · context: legacy_success</t>
  </si>
  <si>
    <t xml:space="preserve">evidencias/EVIDENCIAS_API.md · capturas/05a y 05b</t>
  </si>
  <si>
    <t xml:space="preserve">H-02 (#1)</t>
  </si>
  <si>
    <t xml:space="preserve">CP-UI-01</t>
  </si>
  <si>
    <t xml:space="preserve">Login exitoso</t>
  </si>
  <si>
    <t xml:space="preserve">Página de login de saucedemo.com abierta</t>
  </si>
  <si>
    <t xml:space="preserve">1. Ingresar usuario 2. Ingresar contraseña 3. Clic en Login</t>
  </si>
  <si>
    <t xml:space="preserve">standard_user / secret_sauce</t>
  </si>
  <si>
    <t xml:space="preserve">Redirige al inventario con título Products</t>
  </si>
  <si>
    <t xml:space="preserve">Igual al esperado</t>
  </si>
  <si>
    <t xml:space="preserve">Automatizada (Selenium + pytest)</t>
  </si>
  <si>
    <t xml:space="preserve">evidencias/capturas/ui/test_login_exitoso_con_credenciales_validas.png</t>
  </si>
  <si>
    <t xml:space="preserve">—</t>
  </si>
  <si>
    <t xml:space="preserve">CP-UI-02</t>
  </si>
  <si>
    <t xml:space="preserve">Login con contraseña incorrecta</t>
  </si>
  <si>
    <t xml:space="preserve">standard_user / clave_incorrecta</t>
  </si>
  <si>
    <t xml:space="preserve">Mensaje: Username and password do not match... · sin acceso</t>
  </si>
  <si>
    <t xml:space="preserve">evidencias/capturas/ui/test_login_fallido_con_contrasena_incorrecta.png</t>
  </si>
  <si>
    <t xml:space="preserve">CP-UI-03a</t>
  </si>
  <si>
    <t xml:space="preserve">Campos obligatorios: ambos vacíos</t>
  </si>
  <si>
    <t xml:space="preserve">usuario vacío / contraseña vacía</t>
  </si>
  <si>
    <t xml:space="preserve">Mensaje: Username is required</t>
  </si>
  <si>
    <t xml:space="preserve">evidencias/capturas/ui/test_validacion_campos_obligatorios[ambos_vacios].png</t>
  </si>
  <si>
    <t xml:space="preserve">CP-UI-03b</t>
  </si>
  <si>
    <t xml:space="preserve">Campos obligatorios: usuario vacío</t>
  </si>
  <si>
    <t xml:space="preserve">usuario vacío / secret_sauce</t>
  </si>
  <si>
    <t xml:space="preserve">evidencias/capturas/ui/test_validacion_campos_obligatorios[usuario_vacio].png</t>
  </si>
  <si>
    <t xml:space="preserve">CP-UI-03c</t>
  </si>
  <si>
    <t xml:space="preserve">Campos obligatorios: contraseña vacía</t>
  </si>
  <si>
    <t xml:space="preserve">standard_user / contraseña vacía</t>
  </si>
  <si>
    <t xml:space="preserve">Mensaje: Password is required</t>
  </si>
  <si>
    <t xml:space="preserve">evidencias/capturas/ui/test_validacion_campos_obligatorios[contrasena_vacia].png</t>
  </si>
  <si>
    <t xml:space="preserve">CP-UI-04</t>
  </si>
  <si>
    <t xml:space="preserve">Usuario bloqueado (adicional)</t>
  </si>
  <si>
    <t xml:space="preserve">locked_out_user / secret_sauce</t>
  </si>
  <si>
    <t xml:space="preserve">Mensaje: Sorry, this user has been locked out.</t>
  </si>
  <si>
    <t xml:space="preserve">evidencias/capturas/ui/test_login_usuario_bloqueado.png</t>
  </si>
  <si>
    <t xml:space="preserve">CP-UI-05</t>
  </si>
  <si>
    <t xml:space="preserve">Usuario inexistente (adicional)</t>
  </si>
  <si>
    <t xml:space="preserve">usuario_que_no_existe / secret_sauce</t>
  </si>
  <si>
    <t xml:space="preserve">Mensaje: Username and password do not match...</t>
  </si>
  <si>
    <t xml:space="preserve">evidencias/capturas/ui/test_login_usuario_inexistente.png</t>
  </si>
  <si>
    <t xml:space="preserve">CP-F-01</t>
  </si>
  <si>
    <t xml:space="preserve">Enviar dinero exitosamente a otro usuario registrado</t>
  </si>
  <si>
    <t xml:space="preserve">Ana autenticada, saldo $100.000</t>
  </si>
  <si>
    <t xml:space="preserve">1. Ir a "Enviar dinero" 2. Ingresar celular 3. Ingresar monto 4. Confirmar</t>
  </si>
  <si>
    <t xml:space="preserve">3104445566 · $20.000</t>
  </si>
  <si>
    <t xml:space="preserve">Mensaje de envío exitoso. La transacción queda en estado *Exitosa*</t>
  </si>
  <si>
    <t xml:space="preserve">N/A: producto ficticio, caso diseñado</t>
  </si>
  <si>
    <t xml:space="preserve">Diseñado (pendiente de ejecución)</t>
  </si>
  <si>
    <t xml:space="preserve">funcional/PRUEBAS_FUNCIONALES_MAKERSPAY.md</t>
  </si>
  <si>
    <t xml:space="preserve">CP-F-02</t>
  </si>
  <si>
    <t xml:space="preserve">Intentar enviar dinero sin haber iniciado sesión</t>
  </si>
  <si>
    <t xml:space="preserve">Usuario sin sesión iniciada</t>
  </si>
  <si>
    <t xml:space="preserve">1. Abrir la app 2. Intentar entrar a "Enviar dinero"</t>
  </si>
  <si>
    <t xml:space="preserve">La app pide iniciar sesión y no permite acceder al envío</t>
  </si>
  <si>
    <t xml:space="preserve">CP-F-03</t>
  </si>
  <si>
    <t xml:space="preserve">Enviar el monto mínimo permitido</t>
  </si>
  <si>
    <t xml:space="preserve">Pasos 1 a 4 de CP-F-01</t>
  </si>
  <si>
    <t xml:space="preserve">3104445566 · $5.000</t>
  </si>
  <si>
    <t xml:space="preserve">Envío exitoso. Saldo de Ana: $95.000</t>
  </si>
  <si>
    <t xml:space="preserve">CP-F-04</t>
  </si>
  <si>
    <t xml:space="preserve">3104445566 · $5.001</t>
  </si>
  <si>
    <t xml:space="preserve">Envío exitoso. Saldo de Ana: $94.999</t>
  </si>
  <si>
    <t xml:space="preserve">CP-F-05</t>
  </si>
  <si>
    <t xml:space="preserve">Enviar el monto máximo permitido</t>
  </si>
  <si>
    <t xml:space="preserve">Ana autenticada, saldo $3.000.000</t>
  </si>
  <si>
    <t xml:space="preserve">3104445566 · $2.000.000</t>
  </si>
  <si>
    <t xml:space="preserve">Envío exitoso. Saldo de Ana: $1.000.000</t>
  </si>
  <si>
    <t xml:space="preserve">CP-F-06</t>
  </si>
  <si>
    <t xml:space="preserve">3104445566 · $1.999.999</t>
  </si>
  <si>
    <t xml:space="preserve">Envío exitoso. Saldo de Ana: $1.000.001</t>
  </si>
  <si>
    <t xml:space="preserve">CP-F-07</t>
  </si>
  <si>
    <t xml:space="preserve">Intentar enviar menos del monto mínimo</t>
  </si>
  <si>
    <t xml:space="preserve">3104445566 · $4.999</t>
  </si>
  <si>
    <t xml:space="preserve">Mensaje: el monto mínimo es $5.000. Ningún saldo cambia</t>
  </si>
  <si>
    <t xml:space="preserve">CP-F-08</t>
  </si>
  <si>
    <t xml:space="preserve">Intentar enviar más del monto máximo</t>
  </si>
  <si>
    <t xml:space="preserve">3104445566 · $2.000.001</t>
  </si>
  <si>
    <t xml:space="preserve">Mensaje: el monto máximo es $2.000.000. Ningún saldo cambia</t>
  </si>
  <si>
    <t xml:space="preserve">CP-F-09</t>
  </si>
  <si>
    <t xml:space="preserve">Enviar un monto igual al saldo disponible</t>
  </si>
  <si>
    <t xml:space="preserve">3104445566 · $100.000</t>
  </si>
  <si>
    <t xml:space="preserve">Envío exitoso. Saldo de Ana: $0</t>
  </si>
  <si>
    <t xml:space="preserve">CP-F-10</t>
  </si>
  <si>
    <t xml:space="preserve">Intentar enviar un monto mayor al saldo disponible</t>
  </si>
  <si>
    <t xml:space="preserve">3104445566 · $100.001</t>
  </si>
  <si>
    <t xml:space="preserve">Mensaje de saldo insuficiente. Ningún saldo cambia</t>
  </si>
  <si>
    <t xml:space="preserve">CP-F-11</t>
  </si>
  <si>
    <t xml:space="preserve">Verificar el descuento del saldo del remitente tras un envío exitoso</t>
  </si>
  <si>
    <t xml:space="preserve">CP-F-01 ejecutado con éxito</t>
  </si>
  <si>
    <t xml:space="preserve">1. Ir a la pantalla principal de Ana 2. Consultar el saldo</t>
  </si>
  <si>
    <t xml:space="preserve">Saldo de Ana: $80.000 ($100.000 − $20.000)</t>
  </si>
  <si>
    <t xml:space="preserve">CP-F-12</t>
  </si>
  <si>
    <t xml:space="preserve">Verificar el aumento del saldo del destinatario tras un envío exitoso</t>
  </si>
  <si>
    <t xml:space="preserve">1. Iniciar sesión como Carlos 2. Consultar el saldo</t>
  </si>
  <si>
    <t xml:space="preserve">Saldo de Carlos: $70.000 ($50.000 + $20.000)</t>
  </si>
  <si>
    <t xml:space="preserve">CP-F-13</t>
  </si>
  <si>
    <t xml:space="preserve">Verificar que el movimiento aparezca en el historial de ambos usuarios</t>
  </si>
  <si>
    <t xml:space="preserve">1. Revisar el historial de Ana 2. Revisar el historial de Carlos</t>
  </si>
  <si>
    <t xml:space="preserve">Ana: movimiento de salida por $20.000 hacia 3104445566. Carlos: movimiento de entrada por $20.000 desde 3001112233. Ambos con fecha y hora</t>
  </si>
  <si>
    <t xml:space="preserve">CP-F-14</t>
  </si>
  <si>
    <t xml:space="preserve">Verificar que una transacción fallida no afecte ningún saldo</t>
  </si>
  <si>
    <t xml:space="preserve">1. Ejecutar CP-F-10 (envío que falla) 2. Consultar el saldo y el historial de Ana y de Carlos</t>
  </si>
  <si>
    <t xml:space="preserve">Saldos sin cambios (Ana $100.000, Carlos $50.000). No aparece ningún movimiento nuevo en los historiales</t>
  </si>
  <si>
    <t xml:space="preserve">CP-F-15</t>
  </si>
  <si>
    <t xml:space="preserve">Intentar enviar dinero al propio número de celular</t>
  </si>
  <si>
    <t xml:space="preserve">3001112233 (propio) · $20.000</t>
  </si>
  <si>
    <t xml:space="preserve">Mensaje: no puedes enviarte dinero a ti mismo. Ningún saldo cambia</t>
  </si>
  <si>
    <t xml:space="preserve">CP-F-16</t>
  </si>
  <si>
    <t xml:space="preserve">Intentar enviar dinero a un número no registrado</t>
  </si>
  <si>
    <t xml:space="preserve">3209998877 · $20.000</t>
  </si>
  <si>
    <t xml:space="preserve">Mensaje: el número no está registrado en MakersPay. Ningún saldo cambia</t>
  </si>
  <si>
    <t xml:space="preserve">CP-F-17</t>
  </si>
  <si>
    <t xml:space="preserve">Intentar enviar a un celular con formato inválido</t>
  </si>
  <si>
    <t xml:space="preserve">Ana autenticada</t>
  </si>
  <si>
    <t xml:space="preserve">Pasos 1 y 2 de CP-F-01 con cada dato</t>
  </si>
  <si>
    <t xml:space="preserve">300123456 (9 dígitos) · 30011122ab · 2001112233 · campo vacío</t>
  </si>
  <si>
    <t xml:space="preserve">Mensaje de formato de celular inválido en cada caso. No permite continuar</t>
  </si>
  <si>
    <t xml:space="preserve">CP-F-18</t>
  </si>
  <si>
    <t xml:space="preserve">Intentar enviar montos no válidos (cero, negativos, decimales o texto)</t>
  </si>
  <si>
    <t xml:space="preserve">Pasos 1 a 3 de CP-F-01 con cada dato</t>
  </si>
  <si>
    <t xml:space="preserve">$0 · −$10.000 · $5.000,50 · "abc"</t>
  </si>
  <si>
    <t xml:space="preserve">El campo rechaza el valor o muestra mensaje de monto inválido. No permite continuar</t>
  </si>
  <si>
    <t xml:space="preserve">CP-F-19</t>
  </si>
  <si>
    <t xml:space="preserve">Tocar "Enviar" dos veces seguidas</t>
  </si>
  <si>
    <t xml:space="preserve">1. Completar los pasos 1 a 3 de CP-F-01 2. Tocar "Confirmar" dos veces seguidas muy rápido</t>
  </si>
  <si>
    <t xml:space="preserve">Se procesa una sola transacción. Saldo de Ana: $80.000. Un solo movimiento en el historial</t>
  </si>
  <si>
    <t xml:space="preserve">CP-F-20</t>
  </si>
  <si>
    <t xml:space="preserve">Perder la conexión a internet al confirmar el envío</t>
  </si>
  <si>
    <t xml:space="preserve">1. Completar los pasos 1 a 3 de CP-F-01 2. Activar el modo avión 3. Tocar "Confirmar" 4. Desactivar el modo avión</t>
  </si>
  <si>
    <t xml:space="preserve">Mensaje claro de falta de conexión. Los saldos quedan consistentes: o la transacción se completa en ambos lados o no se realiza en ninguno (ver P-05)</t>
  </si>
  <si>
    <t xml:space="preserve">CP-F-21</t>
  </si>
  <si>
    <t xml:space="preserve">Intentar enviar con la sesión expirada</t>
  </si>
  <si>
    <t xml:space="preserve">Ana autenticada y sesión expirada antes de confirmar</t>
  </si>
  <si>
    <t xml:space="preserve">1. Completar los pasos 1 a 3 de CP-F-01 2. Esperar a que expire la sesión 3. Tocar "Confirmar"</t>
  </si>
  <si>
    <t xml:space="preserve">La app pide iniciar sesión de nuevo y la transacción no se procesa</t>
  </si>
  <si>
    <t xml:space="preserve">CP-F-22</t>
  </si>
  <si>
    <t xml:space="preserve">Enviar dinero desde distintas plataformas y navegadores</t>
  </si>
  <si>
    <t xml:space="preserve">Ana autenticada, saldo $100.000, en cada plataforma</t>
  </si>
  <si>
    <t xml:space="preserve">Pasos 1 a 4 de CP-F-01 en: Android, iOS, Chrome, Safari</t>
  </si>
  <si>
    <t xml:space="preserve">El envío es exitoso y se comporta igual en todas las plataformas. Saldo de Ana: $80.000 en cada ejecución (restaurando el saldo entre pruebas)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</si>
</sst>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  <col collapsed="false" customWidth="true" hidden="false" outlineLevel="0" max="6" min="6" style="0" width="2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4" t="n">
        <f aca="false">COUNTIF(Ejecución!$B$2:$B$35,A5)</f>
        <v>5</v>
      </c>
      <c r="C5" s="4" t="n">
        <f aca="false">COUNTIFS(Ejecución!$B$2:$B$35,$A5,Ejecución!$I$2:$I$35,"Pasó")</f>
        <v>3</v>
      </c>
      <c r="D5" s="4" t="n">
        <f aca="false">COUNTIFS(Ejecución!$B$2:$B$35,$A5,Ejecución!$I$2:$I$35,"Falló")</f>
        <v>2</v>
      </c>
      <c r="E5" s="4" t="n">
        <f aca="false">COUNTIFS(Ejecución!$B$2:$B$35,$A5,Ejecución!$I$2:$I$35,"No ejecutado")</f>
        <v>0</v>
      </c>
      <c r="F5" s="5" t="n">
        <f aca="false">IF((C5+D5)=0,"N/A",C5/(C5+D5))</f>
        <v>0.6</v>
      </c>
    </row>
    <row r="6" customFormat="false" ht="15" hidden="false" customHeight="false" outlineLevel="0" collapsed="false">
      <c r="A6" s="4" t="s">
        <v>9</v>
      </c>
      <c r="B6" s="4" t="n">
        <f aca="false">COUNTIF(Ejecución!$B$2:$B$35,A6)</f>
        <v>7</v>
      </c>
      <c r="C6" s="4" t="n">
        <f aca="false">COUNTIFS(Ejecución!$B$2:$B$35,$A6,Ejecución!$I$2:$I$35,"Pasó")</f>
        <v>7</v>
      </c>
      <c r="D6" s="4" t="n">
        <f aca="false">COUNTIFS(Ejecución!$B$2:$B$35,$A6,Ejecución!$I$2:$I$35,"Falló")</f>
        <v>0</v>
      </c>
      <c r="E6" s="4" t="n">
        <f aca="false">COUNTIFS(Ejecución!$B$2:$B$35,$A6,Ejecución!$I$2:$I$35,"No ejecutado")</f>
        <v>0</v>
      </c>
      <c r="F6" s="5" t="n">
        <f aca="false">IF((C6+D6)=0,"N/A",C6/(C6+D6))</f>
        <v>1</v>
      </c>
    </row>
    <row r="7" customFormat="false" ht="15" hidden="false" customHeight="false" outlineLevel="0" collapsed="false">
      <c r="A7" s="4" t="s">
        <v>10</v>
      </c>
      <c r="B7" s="4" t="n">
        <f aca="false">COUNTIF(Ejecución!$B$2:$B$35,A7)</f>
        <v>22</v>
      </c>
      <c r="C7" s="4" t="n">
        <f aca="false">COUNTIFS(Ejecución!$B$2:$B$35,$A7,Ejecución!$I$2:$I$35,"Pasó")</f>
        <v>0</v>
      </c>
      <c r="D7" s="4" t="n">
        <f aca="false">COUNTIFS(Ejecución!$B$2:$B$35,$A7,Ejecución!$I$2:$I$35,"Falló")</f>
        <v>0</v>
      </c>
      <c r="E7" s="4" t="n">
        <f aca="false">COUNTIFS(Ejecución!$B$2:$B$35,$A7,Ejecución!$I$2:$I$35,"No ejecutado")</f>
        <v>22</v>
      </c>
      <c r="F7" s="5" t="str">
        <f aca="false">IF((C7+D7)=0,"N/A",C7/(C7+D7))</f>
        <v>N/A</v>
      </c>
    </row>
    <row r="8" customFormat="false" ht="15" hidden="false" customHeight="false" outlineLevel="0" collapsed="false">
      <c r="A8" s="6" t="s">
        <v>3</v>
      </c>
      <c r="B8" s="6" t="n">
        <f aca="false">SUM(B5:B7)</f>
        <v>34</v>
      </c>
      <c r="C8" s="6" t="n">
        <f aca="false">SUM(C5:C7)</f>
        <v>10</v>
      </c>
      <c r="D8" s="6" t="n">
        <f aca="false">SUM(D5:D7)</f>
        <v>2</v>
      </c>
      <c r="E8" s="6" t="n">
        <f aca="false">SUM(E5:E7)</f>
        <v>22</v>
      </c>
      <c r="F8" s="7" t="n">
        <f aca="false">IF((C8+D8)=0,"N/A",C8/(C8+D8))</f>
        <v>0.833333333333333</v>
      </c>
    </row>
    <row r="10" customFormat="false" ht="15" hidden="false" customHeight="false" outlineLevel="0" collapsed="false">
      <c r="A10" s="8" t="s">
        <v>11</v>
      </c>
    </row>
    <row r="11" customFormat="false" ht="15" hidden="false" customHeight="false" outlineLevel="0" collapsed="false">
      <c r="A11" s="9" t="s">
        <v>12</v>
      </c>
    </row>
    <row r="12" customFormat="false" ht="15" hidden="false" customHeight="false" outlineLevel="0" collapsed="false">
      <c r="A12" s="9" t="s">
        <v>13</v>
      </c>
    </row>
    <row r="13" customFormat="false" ht="15" hidden="false" customHeight="false" outlineLevel="0" collapsed="false">
      <c r="A13" s="9" t="s">
        <v>14</v>
      </c>
    </row>
    <row r="14" customFormat="false" ht="15" hidden="false" customHeight="false" outlineLevel="0" collapsed="false">
      <c r="A14" s="9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24"/>
    <col collapsed="false" customWidth="true" hidden="false" outlineLevel="0" max="5" min="5" style="0" width="30"/>
    <col collapsed="false" customWidth="true" hidden="false" outlineLevel="0" max="6" min="6" style="0" width="24"/>
    <col collapsed="false" customWidth="true" hidden="false" outlineLevel="0" max="7" min="7" style="0" width="32"/>
    <col collapsed="false" customWidth="true" hidden="false" outlineLevel="0" max="8" min="8" style="0" width="30"/>
    <col collapsed="false" customWidth="true" hidden="false" outlineLevel="0" max="9" min="9" style="0" width="13"/>
    <col collapsed="false" customWidth="true" hidden="false" outlineLevel="0" max="10" min="10" style="0" width="24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15"/>
    <col collapsed="false" customWidth="true" hidden="false" outlineLevel="0" max="14" min="14" style="0" width="10"/>
  </cols>
  <sheetData>
    <row r="1" customFormat="false" ht="23.85" hidden="false" customHeight="false" outlineLevel="0" collapsed="false">
      <c r="A1" s="10" t="s">
        <v>16</v>
      </c>
      <c r="B1" s="10" t="s">
        <v>2</v>
      </c>
      <c r="C1" s="10" t="s">
        <v>17</v>
      </c>
      <c r="D1" s="10" t="s">
        <v>18</v>
      </c>
      <c r="E1" s="10" t="s">
        <v>19</v>
      </c>
      <c r="F1" s="10" t="s">
        <v>20</v>
      </c>
      <c r="G1" s="10" t="s">
        <v>21</v>
      </c>
      <c r="H1" s="10" t="s">
        <v>22</v>
      </c>
      <c r="I1" s="10" t="s">
        <v>23</v>
      </c>
      <c r="J1" s="10" t="s">
        <v>24</v>
      </c>
      <c r="K1" s="10" t="s">
        <v>25</v>
      </c>
      <c r="L1" s="10" t="s">
        <v>26</v>
      </c>
      <c r="M1" s="10" t="s">
        <v>27</v>
      </c>
      <c r="N1" s="10" t="s">
        <v>28</v>
      </c>
    </row>
    <row r="2" customFormat="false" ht="23.85" hidden="false" customHeight="false" outlineLevel="0" collapsed="false">
      <c r="A2" s="11" t="s">
        <v>29</v>
      </c>
      <c r="B2" s="11" t="s">
        <v>8</v>
      </c>
      <c r="C2" s="11" t="s">
        <v>30</v>
      </c>
      <c r="D2" s="11" t="s">
        <v>31</v>
      </c>
      <c r="E2" s="11" t="s">
        <v>32</v>
      </c>
      <c r="F2" s="11" t="s">
        <v>33</v>
      </c>
      <c r="G2" s="11" t="s">
        <v>34</v>
      </c>
      <c r="H2" s="11" t="s">
        <v>35</v>
      </c>
      <c r="I2" s="11" t="s">
        <v>4</v>
      </c>
      <c r="J2" s="11" t="s">
        <v>36</v>
      </c>
      <c r="K2" s="11" t="s">
        <v>37</v>
      </c>
      <c r="L2" s="11" t="s">
        <v>38</v>
      </c>
      <c r="M2" s="11" t="s">
        <v>39</v>
      </c>
      <c r="N2" s="11" t="s">
        <v>40</v>
      </c>
    </row>
    <row r="3" customFormat="false" ht="23.85" hidden="false" customHeight="false" outlineLevel="0" collapsed="false">
      <c r="A3" s="11" t="s">
        <v>41</v>
      </c>
      <c r="B3" s="11" t="s">
        <v>8</v>
      </c>
      <c r="C3" s="11" t="s">
        <v>42</v>
      </c>
      <c r="D3" s="11" t="s">
        <v>43</v>
      </c>
      <c r="E3" s="11" t="s">
        <v>44</v>
      </c>
      <c r="F3" s="11" t="s">
        <v>45</v>
      </c>
      <c r="G3" s="11" t="s">
        <v>46</v>
      </c>
      <c r="H3" s="11" t="s">
        <v>47</v>
      </c>
      <c r="I3" s="11" t="s">
        <v>5</v>
      </c>
      <c r="J3" s="11" t="s">
        <v>48</v>
      </c>
      <c r="K3" s="11" t="s">
        <v>37</v>
      </c>
      <c r="L3" s="11" t="s">
        <v>49</v>
      </c>
      <c r="M3" s="11" t="s">
        <v>50</v>
      </c>
      <c r="N3" s="11" t="s">
        <v>40</v>
      </c>
    </row>
    <row r="4" customFormat="false" ht="23.85" hidden="false" customHeight="false" outlineLevel="0" collapsed="false">
      <c r="A4" s="11" t="s">
        <v>51</v>
      </c>
      <c r="B4" s="11" t="s">
        <v>8</v>
      </c>
      <c r="C4" s="11" t="s">
        <v>52</v>
      </c>
      <c r="D4" s="11" t="s">
        <v>31</v>
      </c>
      <c r="E4" s="11" t="s">
        <v>53</v>
      </c>
      <c r="F4" s="11" t="s">
        <v>54</v>
      </c>
      <c r="G4" s="11" t="s">
        <v>55</v>
      </c>
      <c r="H4" s="11" t="s">
        <v>56</v>
      </c>
      <c r="I4" s="11" t="s">
        <v>4</v>
      </c>
      <c r="J4" s="11" t="s">
        <v>36</v>
      </c>
      <c r="K4" s="11" t="s">
        <v>37</v>
      </c>
      <c r="L4" s="11" t="s">
        <v>57</v>
      </c>
      <c r="M4" s="11" t="s">
        <v>39</v>
      </c>
      <c r="N4" s="11" t="s">
        <v>58</v>
      </c>
    </row>
    <row r="5" customFormat="false" ht="23.85" hidden="false" customHeight="false" outlineLevel="0" collapsed="false">
      <c r="A5" s="11" t="s">
        <v>59</v>
      </c>
      <c r="B5" s="11" t="s">
        <v>8</v>
      </c>
      <c r="C5" s="11" t="s">
        <v>60</v>
      </c>
      <c r="D5" s="11" t="s">
        <v>31</v>
      </c>
      <c r="E5" s="11" t="s">
        <v>61</v>
      </c>
      <c r="F5" s="11" t="s">
        <v>62</v>
      </c>
      <c r="G5" s="11" t="s">
        <v>63</v>
      </c>
      <c r="H5" s="11" t="s">
        <v>47</v>
      </c>
      <c r="I5" s="11" t="s">
        <v>4</v>
      </c>
      <c r="J5" s="11" t="s">
        <v>36</v>
      </c>
      <c r="K5" s="11" t="s">
        <v>37</v>
      </c>
      <c r="L5" s="11" t="s">
        <v>64</v>
      </c>
      <c r="M5" s="11" t="s">
        <v>65</v>
      </c>
      <c r="N5" s="11" t="s">
        <v>58</v>
      </c>
    </row>
    <row r="6" customFormat="false" ht="23.85" hidden="false" customHeight="false" outlineLevel="0" collapsed="false">
      <c r="A6" s="11" t="s">
        <v>66</v>
      </c>
      <c r="B6" s="11" t="s">
        <v>8</v>
      </c>
      <c r="C6" s="11" t="s">
        <v>67</v>
      </c>
      <c r="D6" s="11" t="s">
        <v>68</v>
      </c>
      <c r="E6" s="11" t="s">
        <v>69</v>
      </c>
      <c r="F6" s="11" t="s">
        <v>33</v>
      </c>
      <c r="G6" s="11" t="s">
        <v>70</v>
      </c>
      <c r="H6" s="11" t="s">
        <v>71</v>
      </c>
      <c r="I6" s="11" t="s">
        <v>5</v>
      </c>
      <c r="J6" s="11" t="s">
        <v>48</v>
      </c>
      <c r="K6" s="11" t="s">
        <v>37</v>
      </c>
      <c r="L6" s="11" t="s">
        <v>72</v>
      </c>
      <c r="M6" s="11" t="s">
        <v>73</v>
      </c>
      <c r="N6" s="11" t="s">
        <v>40</v>
      </c>
    </row>
    <row r="7" customFormat="false" ht="35.05" hidden="false" customHeight="false" outlineLevel="0" collapsed="false">
      <c r="A7" s="11" t="s">
        <v>74</v>
      </c>
      <c r="B7" s="11" t="s">
        <v>9</v>
      </c>
      <c r="C7" s="11" t="s">
        <v>75</v>
      </c>
      <c r="D7" s="11" t="s">
        <v>76</v>
      </c>
      <c r="E7" s="11" t="s">
        <v>77</v>
      </c>
      <c r="F7" s="11" t="s">
        <v>78</v>
      </c>
      <c r="G7" s="11" t="s">
        <v>79</v>
      </c>
      <c r="H7" s="11" t="s">
        <v>80</v>
      </c>
      <c r="I7" s="11" t="s">
        <v>4</v>
      </c>
      <c r="J7" s="11" t="s">
        <v>81</v>
      </c>
      <c r="K7" s="11" t="s">
        <v>37</v>
      </c>
      <c r="L7" s="11" t="s">
        <v>82</v>
      </c>
      <c r="M7" s="11" t="s">
        <v>83</v>
      </c>
      <c r="N7" s="11" t="s">
        <v>40</v>
      </c>
    </row>
    <row r="8" customFormat="false" ht="35.05" hidden="false" customHeight="false" outlineLevel="0" collapsed="false">
      <c r="A8" s="11" t="s">
        <v>84</v>
      </c>
      <c r="B8" s="11" t="s">
        <v>9</v>
      </c>
      <c r="C8" s="11" t="s">
        <v>85</v>
      </c>
      <c r="D8" s="11" t="s">
        <v>76</v>
      </c>
      <c r="E8" s="11" t="s">
        <v>77</v>
      </c>
      <c r="F8" s="11" t="s">
        <v>86</v>
      </c>
      <c r="G8" s="11" t="s">
        <v>87</v>
      </c>
      <c r="H8" s="11" t="s">
        <v>80</v>
      </c>
      <c r="I8" s="11" t="s">
        <v>4</v>
      </c>
      <c r="J8" s="11" t="s">
        <v>81</v>
      </c>
      <c r="K8" s="11" t="s">
        <v>37</v>
      </c>
      <c r="L8" s="11" t="s">
        <v>88</v>
      </c>
      <c r="M8" s="11" t="s">
        <v>83</v>
      </c>
      <c r="N8" s="11" t="s">
        <v>40</v>
      </c>
    </row>
    <row r="9" customFormat="false" ht="35.05" hidden="false" customHeight="false" outlineLevel="0" collapsed="false">
      <c r="A9" s="11" t="s">
        <v>89</v>
      </c>
      <c r="B9" s="11" t="s">
        <v>9</v>
      </c>
      <c r="C9" s="11" t="s">
        <v>90</v>
      </c>
      <c r="D9" s="11" t="s">
        <v>76</v>
      </c>
      <c r="E9" s="11" t="s">
        <v>77</v>
      </c>
      <c r="F9" s="11" t="s">
        <v>91</v>
      </c>
      <c r="G9" s="11" t="s">
        <v>92</v>
      </c>
      <c r="H9" s="11" t="s">
        <v>80</v>
      </c>
      <c r="I9" s="11" t="s">
        <v>4</v>
      </c>
      <c r="J9" s="11" t="s">
        <v>81</v>
      </c>
      <c r="K9" s="11" t="s">
        <v>37</v>
      </c>
      <c r="L9" s="11" t="s">
        <v>93</v>
      </c>
      <c r="M9" s="11" t="s">
        <v>83</v>
      </c>
      <c r="N9" s="11" t="s">
        <v>40</v>
      </c>
    </row>
    <row r="10" customFormat="false" ht="35.05" hidden="false" customHeight="false" outlineLevel="0" collapsed="false">
      <c r="A10" s="11" t="s">
        <v>94</v>
      </c>
      <c r="B10" s="11" t="s">
        <v>9</v>
      </c>
      <c r="C10" s="11" t="s">
        <v>95</v>
      </c>
      <c r="D10" s="11" t="s">
        <v>76</v>
      </c>
      <c r="E10" s="11" t="s">
        <v>77</v>
      </c>
      <c r="F10" s="11" t="s">
        <v>96</v>
      </c>
      <c r="G10" s="11" t="s">
        <v>92</v>
      </c>
      <c r="H10" s="11" t="s">
        <v>80</v>
      </c>
      <c r="I10" s="11" t="s">
        <v>4</v>
      </c>
      <c r="J10" s="11" t="s">
        <v>81</v>
      </c>
      <c r="K10" s="11" t="s">
        <v>37</v>
      </c>
      <c r="L10" s="11" t="s">
        <v>97</v>
      </c>
      <c r="M10" s="11" t="s">
        <v>83</v>
      </c>
      <c r="N10" s="11" t="s">
        <v>40</v>
      </c>
    </row>
    <row r="11" customFormat="false" ht="35.05" hidden="false" customHeight="false" outlineLevel="0" collapsed="false">
      <c r="A11" s="11" t="s">
        <v>98</v>
      </c>
      <c r="B11" s="11" t="s">
        <v>9</v>
      </c>
      <c r="C11" s="11" t="s">
        <v>99</v>
      </c>
      <c r="D11" s="11" t="s">
        <v>76</v>
      </c>
      <c r="E11" s="11" t="s">
        <v>77</v>
      </c>
      <c r="F11" s="11" t="s">
        <v>100</v>
      </c>
      <c r="G11" s="11" t="s">
        <v>101</v>
      </c>
      <c r="H11" s="11" t="s">
        <v>80</v>
      </c>
      <c r="I11" s="11" t="s">
        <v>4</v>
      </c>
      <c r="J11" s="11" t="s">
        <v>81</v>
      </c>
      <c r="K11" s="11" t="s">
        <v>37</v>
      </c>
      <c r="L11" s="11" t="s">
        <v>102</v>
      </c>
      <c r="M11" s="11" t="s">
        <v>83</v>
      </c>
      <c r="N11" s="11" t="s">
        <v>40</v>
      </c>
    </row>
    <row r="12" customFormat="false" ht="23.85" hidden="false" customHeight="false" outlineLevel="0" collapsed="false">
      <c r="A12" s="11" t="s">
        <v>103</v>
      </c>
      <c r="B12" s="11" t="s">
        <v>9</v>
      </c>
      <c r="C12" s="11" t="s">
        <v>104</v>
      </c>
      <c r="D12" s="11" t="s">
        <v>76</v>
      </c>
      <c r="E12" s="11" t="s">
        <v>77</v>
      </c>
      <c r="F12" s="11" t="s">
        <v>105</v>
      </c>
      <c r="G12" s="11" t="s">
        <v>106</v>
      </c>
      <c r="H12" s="11" t="s">
        <v>80</v>
      </c>
      <c r="I12" s="11" t="s">
        <v>4</v>
      </c>
      <c r="J12" s="11" t="s">
        <v>81</v>
      </c>
      <c r="K12" s="11" t="s">
        <v>37</v>
      </c>
      <c r="L12" s="11" t="s">
        <v>107</v>
      </c>
      <c r="M12" s="11" t="s">
        <v>83</v>
      </c>
      <c r="N12" s="11" t="s">
        <v>58</v>
      </c>
    </row>
    <row r="13" customFormat="false" ht="23.85" hidden="false" customHeight="false" outlineLevel="0" collapsed="false">
      <c r="A13" s="11" t="s">
        <v>108</v>
      </c>
      <c r="B13" s="11" t="s">
        <v>9</v>
      </c>
      <c r="C13" s="11" t="s">
        <v>109</v>
      </c>
      <c r="D13" s="11" t="s">
        <v>76</v>
      </c>
      <c r="E13" s="11" t="s">
        <v>77</v>
      </c>
      <c r="F13" s="11" t="s">
        <v>110</v>
      </c>
      <c r="G13" s="11" t="s">
        <v>111</v>
      </c>
      <c r="H13" s="11" t="s">
        <v>80</v>
      </c>
      <c r="I13" s="11" t="s">
        <v>4</v>
      </c>
      <c r="J13" s="11" t="s">
        <v>81</v>
      </c>
      <c r="K13" s="11" t="s">
        <v>37</v>
      </c>
      <c r="L13" s="11" t="s">
        <v>112</v>
      </c>
      <c r="M13" s="11" t="s">
        <v>83</v>
      </c>
      <c r="N13" s="11" t="s">
        <v>58</v>
      </c>
    </row>
    <row r="14" customFormat="false" ht="35.05" hidden="false" customHeight="false" outlineLevel="0" collapsed="false">
      <c r="A14" s="11" t="s">
        <v>113</v>
      </c>
      <c r="B14" s="11" t="s">
        <v>10</v>
      </c>
      <c r="C14" s="11" t="s">
        <v>114</v>
      </c>
      <c r="D14" s="11" t="s">
        <v>115</v>
      </c>
      <c r="E14" s="11" t="s">
        <v>116</v>
      </c>
      <c r="F14" s="11" t="s">
        <v>117</v>
      </c>
      <c r="G14" s="11" t="s">
        <v>118</v>
      </c>
      <c r="H14" s="11" t="s">
        <v>119</v>
      </c>
      <c r="I14" s="11" t="s">
        <v>6</v>
      </c>
      <c r="J14" s="11" t="s">
        <v>120</v>
      </c>
      <c r="K14" s="11" t="s">
        <v>83</v>
      </c>
      <c r="L14" s="11" t="s">
        <v>121</v>
      </c>
      <c r="M14" s="11" t="s">
        <v>83</v>
      </c>
      <c r="N14" s="11" t="s">
        <v>40</v>
      </c>
    </row>
    <row r="15" customFormat="false" ht="35.05" hidden="false" customHeight="false" outlineLevel="0" collapsed="false">
      <c r="A15" s="11" t="s">
        <v>122</v>
      </c>
      <c r="B15" s="11" t="s">
        <v>10</v>
      </c>
      <c r="C15" s="11" t="s">
        <v>123</v>
      </c>
      <c r="D15" s="11" t="s">
        <v>124</v>
      </c>
      <c r="E15" s="11" t="s">
        <v>125</v>
      </c>
      <c r="F15" s="11" t="s">
        <v>83</v>
      </c>
      <c r="G15" s="11" t="s">
        <v>126</v>
      </c>
      <c r="H15" s="11" t="s">
        <v>119</v>
      </c>
      <c r="I15" s="11" t="s">
        <v>6</v>
      </c>
      <c r="J15" s="11" t="s">
        <v>120</v>
      </c>
      <c r="K15" s="11" t="s">
        <v>83</v>
      </c>
      <c r="L15" s="11" t="s">
        <v>121</v>
      </c>
      <c r="M15" s="11" t="s">
        <v>83</v>
      </c>
      <c r="N15" s="11" t="s">
        <v>40</v>
      </c>
    </row>
    <row r="16" customFormat="false" ht="35.05" hidden="false" customHeight="false" outlineLevel="0" collapsed="false">
      <c r="A16" s="11" t="s">
        <v>127</v>
      </c>
      <c r="B16" s="11" t="s">
        <v>10</v>
      </c>
      <c r="C16" s="11" t="s">
        <v>128</v>
      </c>
      <c r="D16" s="11" t="s">
        <v>115</v>
      </c>
      <c r="E16" s="11" t="s">
        <v>129</v>
      </c>
      <c r="F16" s="11" t="s">
        <v>130</v>
      </c>
      <c r="G16" s="11" t="s">
        <v>131</v>
      </c>
      <c r="H16" s="11" t="s">
        <v>119</v>
      </c>
      <c r="I16" s="11" t="s">
        <v>6</v>
      </c>
      <c r="J16" s="11" t="s">
        <v>120</v>
      </c>
      <c r="K16" s="11" t="s">
        <v>83</v>
      </c>
      <c r="L16" s="11" t="s">
        <v>121</v>
      </c>
      <c r="M16" s="11" t="s">
        <v>83</v>
      </c>
      <c r="N16" s="11" t="s">
        <v>40</v>
      </c>
    </row>
    <row r="17" customFormat="false" ht="35.05" hidden="false" customHeight="false" outlineLevel="0" collapsed="false">
      <c r="A17" s="11" t="s">
        <v>132</v>
      </c>
      <c r="B17" s="11" t="s">
        <v>10</v>
      </c>
      <c r="C17" s="11" t="s">
        <v>128</v>
      </c>
      <c r="D17" s="11" t="s">
        <v>115</v>
      </c>
      <c r="E17" s="11" t="s">
        <v>129</v>
      </c>
      <c r="F17" s="11" t="s">
        <v>133</v>
      </c>
      <c r="G17" s="11" t="s">
        <v>134</v>
      </c>
      <c r="H17" s="11" t="s">
        <v>119</v>
      </c>
      <c r="I17" s="11" t="s">
        <v>6</v>
      </c>
      <c r="J17" s="11" t="s">
        <v>120</v>
      </c>
      <c r="K17" s="11" t="s">
        <v>83</v>
      </c>
      <c r="L17" s="11" t="s">
        <v>121</v>
      </c>
      <c r="M17" s="11" t="s">
        <v>83</v>
      </c>
      <c r="N17" s="11" t="s">
        <v>58</v>
      </c>
    </row>
    <row r="18" customFormat="false" ht="35.05" hidden="false" customHeight="false" outlineLevel="0" collapsed="false">
      <c r="A18" s="11" t="s">
        <v>135</v>
      </c>
      <c r="B18" s="11" t="s">
        <v>10</v>
      </c>
      <c r="C18" s="11" t="s">
        <v>136</v>
      </c>
      <c r="D18" s="11" t="s">
        <v>137</v>
      </c>
      <c r="E18" s="11" t="s">
        <v>129</v>
      </c>
      <c r="F18" s="11" t="s">
        <v>138</v>
      </c>
      <c r="G18" s="11" t="s">
        <v>139</v>
      </c>
      <c r="H18" s="11" t="s">
        <v>119</v>
      </c>
      <c r="I18" s="11" t="s">
        <v>6</v>
      </c>
      <c r="J18" s="11" t="s">
        <v>120</v>
      </c>
      <c r="K18" s="11" t="s">
        <v>83</v>
      </c>
      <c r="L18" s="11" t="s">
        <v>121</v>
      </c>
      <c r="M18" s="11" t="s">
        <v>83</v>
      </c>
      <c r="N18" s="11" t="s">
        <v>40</v>
      </c>
    </row>
    <row r="19" customFormat="false" ht="35.05" hidden="false" customHeight="false" outlineLevel="0" collapsed="false">
      <c r="A19" s="11" t="s">
        <v>140</v>
      </c>
      <c r="B19" s="11" t="s">
        <v>10</v>
      </c>
      <c r="C19" s="11" t="s">
        <v>136</v>
      </c>
      <c r="D19" s="11" t="s">
        <v>137</v>
      </c>
      <c r="E19" s="11" t="s">
        <v>129</v>
      </c>
      <c r="F19" s="11" t="s">
        <v>141</v>
      </c>
      <c r="G19" s="11" t="s">
        <v>142</v>
      </c>
      <c r="H19" s="11" t="s">
        <v>119</v>
      </c>
      <c r="I19" s="11" t="s">
        <v>6</v>
      </c>
      <c r="J19" s="11" t="s">
        <v>120</v>
      </c>
      <c r="K19" s="11" t="s">
        <v>83</v>
      </c>
      <c r="L19" s="11" t="s">
        <v>121</v>
      </c>
      <c r="M19" s="11" t="s">
        <v>83</v>
      </c>
      <c r="N19" s="11" t="s">
        <v>58</v>
      </c>
    </row>
    <row r="20" customFormat="false" ht="35.05" hidden="false" customHeight="false" outlineLevel="0" collapsed="false">
      <c r="A20" s="11" t="s">
        <v>143</v>
      </c>
      <c r="B20" s="11" t="s">
        <v>10</v>
      </c>
      <c r="C20" s="11" t="s">
        <v>144</v>
      </c>
      <c r="D20" s="11" t="s">
        <v>115</v>
      </c>
      <c r="E20" s="11" t="s">
        <v>129</v>
      </c>
      <c r="F20" s="11" t="s">
        <v>145</v>
      </c>
      <c r="G20" s="11" t="s">
        <v>146</v>
      </c>
      <c r="H20" s="11" t="s">
        <v>119</v>
      </c>
      <c r="I20" s="11" t="s">
        <v>6</v>
      </c>
      <c r="J20" s="11" t="s">
        <v>120</v>
      </c>
      <c r="K20" s="11" t="s">
        <v>83</v>
      </c>
      <c r="L20" s="11" t="s">
        <v>121</v>
      </c>
      <c r="M20" s="11" t="s">
        <v>83</v>
      </c>
      <c r="N20" s="11" t="s">
        <v>40</v>
      </c>
    </row>
    <row r="21" customFormat="false" ht="35.05" hidden="false" customHeight="false" outlineLevel="0" collapsed="false">
      <c r="A21" s="11" t="s">
        <v>147</v>
      </c>
      <c r="B21" s="11" t="s">
        <v>10</v>
      </c>
      <c r="C21" s="11" t="s">
        <v>148</v>
      </c>
      <c r="D21" s="11" t="s">
        <v>137</v>
      </c>
      <c r="E21" s="11" t="s">
        <v>129</v>
      </c>
      <c r="F21" s="11" t="s">
        <v>149</v>
      </c>
      <c r="G21" s="11" t="s">
        <v>150</v>
      </c>
      <c r="H21" s="11" t="s">
        <v>119</v>
      </c>
      <c r="I21" s="11" t="s">
        <v>6</v>
      </c>
      <c r="J21" s="11" t="s">
        <v>120</v>
      </c>
      <c r="K21" s="11" t="s">
        <v>83</v>
      </c>
      <c r="L21" s="11" t="s">
        <v>121</v>
      </c>
      <c r="M21" s="11" t="s">
        <v>83</v>
      </c>
      <c r="N21" s="11" t="s">
        <v>40</v>
      </c>
    </row>
    <row r="22" customFormat="false" ht="35.05" hidden="false" customHeight="false" outlineLevel="0" collapsed="false">
      <c r="A22" s="11" t="s">
        <v>151</v>
      </c>
      <c r="B22" s="11" t="s">
        <v>10</v>
      </c>
      <c r="C22" s="11" t="s">
        <v>152</v>
      </c>
      <c r="D22" s="11" t="s">
        <v>115</v>
      </c>
      <c r="E22" s="11" t="s">
        <v>129</v>
      </c>
      <c r="F22" s="11" t="s">
        <v>153</v>
      </c>
      <c r="G22" s="11" t="s">
        <v>154</v>
      </c>
      <c r="H22" s="11" t="s">
        <v>119</v>
      </c>
      <c r="I22" s="11" t="s">
        <v>6</v>
      </c>
      <c r="J22" s="11" t="s">
        <v>120</v>
      </c>
      <c r="K22" s="11" t="s">
        <v>83</v>
      </c>
      <c r="L22" s="11" t="s">
        <v>121</v>
      </c>
      <c r="M22" s="11" t="s">
        <v>83</v>
      </c>
      <c r="N22" s="11" t="s">
        <v>58</v>
      </c>
    </row>
    <row r="23" customFormat="false" ht="35.05" hidden="false" customHeight="false" outlineLevel="0" collapsed="false">
      <c r="A23" s="11" t="s">
        <v>155</v>
      </c>
      <c r="B23" s="11" t="s">
        <v>10</v>
      </c>
      <c r="C23" s="11" t="s">
        <v>156</v>
      </c>
      <c r="D23" s="11" t="s">
        <v>115</v>
      </c>
      <c r="E23" s="11" t="s">
        <v>129</v>
      </c>
      <c r="F23" s="11" t="s">
        <v>157</v>
      </c>
      <c r="G23" s="11" t="s">
        <v>158</v>
      </c>
      <c r="H23" s="11" t="s">
        <v>119</v>
      </c>
      <c r="I23" s="11" t="s">
        <v>6</v>
      </c>
      <c r="J23" s="11" t="s">
        <v>120</v>
      </c>
      <c r="K23" s="11" t="s">
        <v>83</v>
      </c>
      <c r="L23" s="11" t="s">
        <v>121</v>
      </c>
      <c r="M23" s="11" t="s">
        <v>83</v>
      </c>
      <c r="N23" s="11" t="s">
        <v>40</v>
      </c>
    </row>
    <row r="24" customFormat="false" ht="35.05" hidden="false" customHeight="false" outlineLevel="0" collapsed="false">
      <c r="A24" s="11" t="s">
        <v>159</v>
      </c>
      <c r="B24" s="11" t="s">
        <v>10</v>
      </c>
      <c r="C24" s="11" t="s">
        <v>160</v>
      </c>
      <c r="D24" s="11" t="s">
        <v>161</v>
      </c>
      <c r="E24" s="11" t="s">
        <v>162</v>
      </c>
      <c r="F24" s="11" t="s">
        <v>83</v>
      </c>
      <c r="G24" s="11" t="s">
        <v>163</v>
      </c>
      <c r="H24" s="11" t="s">
        <v>119</v>
      </c>
      <c r="I24" s="11" t="s">
        <v>6</v>
      </c>
      <c r="J24" s="11" t="s">
        <v>120</v>
      </c>
      <c r="K24" s="11" t="s">
        <v>83</v>
      </c>
      <c r="L24" s="11" t="s">
        <v>121</v>
      </c>
      <c r="M24" s="11" t="s">
        <v>83</v>
      </c>
      <c r="N24" s="11" t="s">
        <v>40</v>
      </c>
    </row>
    <row r="25" customFormat="false" ht="35.05" hidden="false" customHeight="false" outlineLevel="0" collapsed="false">
      <c r="A25" s="11" t="s">
        <v>164</v>
      </c>
      <c r="B25" s="11" t="s">
        <v>10</v>
      </c>
      <c r="C25" s="11" t="s">
        <v>165</v>
      </c>
      <c r="D25" s="11" t="s">
        <v>161</v>
      </c>
      <c r="E25" s="11" t="s">
        <v>166</v>
      </c>
      <c r="F25" s="11" t="s">
        <v>83</v>
      </c>
      <c r="G25" s="11" t="s">
        <v>167</v>
      </c>
      <c r="H25" s="11" t="s">
        <v>119</v>
      </c>
      <c r="I25" s="11" t="s">
        <v>6</v>
      </c>
      <c r="J25" s="11" t="s">
        <v>120</v>
      </c>
      <c r="K25" s="11" t="s">
        <v>83</v>
      </c>
      <c r="L25" s="11" t="s">
        <v>121</v>
      </c>
      <c r="M25" s="11" t="s">
        <v>83</v>
      </c>
      <c r="N25" s="11" t="s">
        <v>40</v>
      </c>
    </row>
    <row r="26" customFormat="false" ht="46.25" hidden="false" customHeight="false" outlineLevel="0" collapsed="false">
      <c r="A26" s="11" t="s">
        <v>168</v>
      </c>
      <c r="B26" s="11" t="s">
        <v>10</v>
      </c>
      <c r="C26" s="11" t="s">
        <v>169</v>
      </c>
      <c r="D26" s="11" t="s">
        <v>161</v>
      </c>
      <c r="E26" s="11" t="s">
        <v>170</v>
      </c>
      <c r="F26" s="11" t="s">
        <v>83</v>
      </c>
      <c r="G26" s="11" t="s">
        <v>171</v>
      </c>
      <c r="H26" s="11" t="s">
        <v>119</v>
      </c>
      <c r="I26" s="11" t="s">
        <v>6</v>
      </c>
      <c r="J26" s="11" t="s">
        <v>120</v>
      </c>
      <c r="K26" s="11" t="s">
        <v>83</v>
      </c>
      <c r="L26" s="11" t="s">
        <v>121</v>
      </c>
      <c r="M26" s="11" t="s">
        <v>83</v>
      </c>
      <c r="N26" s="11" t="s">
        <v>58</v>
      </c>
    </row>
    <row r="27" customFormat="false" ht="35.05" hidden="false" customHeight="false" outlineLevel="0" collapsed="false">
      <c r="A27" s="11" t="s">
        <v>172</v>
      </c>
      <c r="B27" s="11" t="s">
        <v>10</v>
      </c>
      <c r="C27" s="11" t="s">
        <v>173</v>
      </c>
      <c r="D27" s="11" t="s">
        <v>115</v>
      </c>
      <c r="E27" s="11" t="s">
        <v>174</v>
      </c>
      <c r="F27" s="11" t="s">
        <v>157</v>
      </c>
      <c r="G27" s="11" t="s">
        <v>175</v>
      </c>
      <c r="H27" s="11" t="s">
        <v>119</v>
      </c>
      <c r="I27" s="11" t="s">
        <v>6</v>
      </c>
      <c r="J27" s="11" t="s">
        <v>120</v>
      </c>
      <c r="K27" s="11" t="s">
        <v>83</v>
      </c>
      <c r="L27" s="11" t="s">
        <v>121</v>
      </c>
      <c r="M27" s="11" t="s">
        <v>83</v>
      </c>
      <c r="N27" s="11" t="s">
        <v>40</v>
      </c>
    </row>
    <row r="28" customFormat="false" ht="35.05" hidden="false" customHeight="false" outlineLevel="0" collapsed="false">
      <c r="A28" s="11" t="s">
        <v>176</v>
      </c>
      <c r="B28" s="11" t="s">
        <v>10</v>
      </c>
      <c r="C28" s="11" t="s">
        <v>177</v>
      </c>
      <c r="D28" s="11" t="s">
        <v>115</v>
      </c>
      <c r="E28" s="11" t="s">
        <v>129</v>
      </c>
      <c r="F28" s="11" t="s">
        <v>178</v>
      </c>
      <c r="G28" s="11" t="s">
        <v>179</v>
      </c>
      <c r="H28" s="11" t="s">
        <v>119</v>
      </c>
      <c r="I28" s="11" t="s">
        <v>6</v>
      </c>
      <c r="J28" s="11" t="s">
        <v>120</v>
      </c>
      <c r="K28" s="11" t="s">
        <v>83</v>
      </c>
      <c r="L28" s="11" t="s">
        <v>121</v>
      </c>
      <c r="M28" s="11" t="s">
        <v>83</v>
      </c>
      <c r="N28" s="11" t="s">
        <v>40</v>
      </c>
    </row>
    <row r="29" customFormat="false" ht="35.05" hidden="false" customHeight="false" outlineLevel="0" collapsed="false">
      <c r="A29" s="11" t="s">
        <v>180</v>
      </c>
      <c r="B29" s="11" t="s">
        <v>10</v>
      </c>
      <c r="C29" s="11" t="s">
        <v>181</v>
      </c>
      <c r="D29" s="11" t="s">
        <v>115</v>
      </c>
      <c r="E29" s="11" t="s">
        <v>129</v>
      </c>
      <c r="F29" s="11" t="s">
        <v>182</v>
      </c>
      <c r="G29" s="11" t="s">
        <v>183</v>
      </c>
      <c r="H29" s="11" t="s">
        <v>119</v>
      </c>
      <c r="I29" s="11" t="s">
        <v>6</v>
      </c>
      <c r="J29" s="11" t="s">
        <v>120</v>
      </c>
      <c r="K29" s="11" t="s">
        <v>83</v>
      </c>
      <c r="L29" s="11" t="s">
        <v>121</v>
      </c>
      <c r="M29" s="11" t="s">
        <v>83</v>
      </c>
      <c r="N29" s="11" t="s">
        <v>40</v>
      </c>
    </row>
    <row r="30" customFormat="false" ht="35.05" hidden="false" customHeight="false" outlineLevel="0" collapsed="false">
      <c r="A30" s="11" t="s">
        <v>184</v>
      </c>
      <c r="B30" s="11" t="s">
        <v>10</v>
      </c>
      <c r="C30" s="11" t="s">
        <v>185</v>
      </c>
      <c r="D30" s="11" t="s">
        <v>186</v>
      </c>
      <c r="E30" s="11" t="s">
        <v>187</v>
      </c>
      <c r="F30" s="11" t="s">
        <v>188</v>
      </c>
      <c r="G30" s="11" t="s">
        <v>189</v>
      </c>
      <c r="H30" s="11" t="s">
        <v>119</v>
      </c>
      <c r="I30" s="11" t="s">
        <v>6</v>
      </c>
      <c r="J30" s="11" t="s">
        <v>120</v>
      </c>
      <c r="K30" s="11" t="s">
        <v>83</v>
      </c>
      <c r="L30" s="11" t="s">
        <v>121</v>
      </c>
      <c r="M30" s="11" t="s">
        <v>83</v>
      </c>
      <c r="N30" s="11" t="s">
        <v>58</v>
      </c>
    </row>
    <row r="31" customFormat="false" ht="35.05" hidden="false" customHeight="false" outlineLevel="0" collapsed="false">
      <c r="A31" s="11" t="s">
        <v>190</v>
      </c>
      <c r="B31" s="11" t="s">
        <v>10</v>
      </c>
      <c r="C31" s="11" t="s">
        <v>191</v>
      </c>
      <c r="D31" s="11" t="s">
        <v>186</v>
      </c>
      <c r="E31" s="11" t="s">
        <v>192</v>
      </c>
      <c r="F31" s="11" t="s">
        <v>193</v>
      </c>
      <c r="G31" s="11" t="s">
        <v>194</v>
      </c>
      <c r="H31" s="11" t="s">
        <v>119</v>
      </c>
      <c r="I31" s="11" t="s">
        <v>6</v>
      </c>
      <c r="J31" s="11" t="s">
        <v>120</v>
      </c>
      <c r="K31" s="11" t="s">
        <v>83</v>
      </c>
      <c r="L31" s="11" t="s">
        <v>121</v>
      </c>
      <c r="M31" s="11" t="s">
        <v>83</v>
      </c>
      <c r="N31" s="11" t="s">
        <v>58</v>
      </c>
    </row>
    <row r="32" customFormat="false" ht="35.05" hidden="false" customHeight="false" outlineLevel="0" collapsed="false">
      <c r="A32" s="11" t="s">
        <v>195</v>
      </c>
      <c r="B32" s="11" t="s">
        <v>10</v>
      </c>
      <c r="C32" s="11" t="s">
        <v>196</v>
      </c>
      <c r="D32" s="11" t="s">
        <v>115</v>
      </c>
      <c r="E32" s="11" t="s">
        <v>197</v>
      </c>
      <c r="F32" s="11" t="s">
        <v>117</v>
      </c>
      <c r="G32" s="11" t="s">
        <v>198</v>
      </c>
      <c r="H32" s="11" t="s">
        <v>119</v>
      </c>
      <c r="I32" s="11" t="s">
        <v>6</v>
      </c>
      <c r="J32" s="11" t="s">
        <v>120</v>
      </c>
      <c r="K32" s="11" t="s">
        <v>83</v>
      </c>
      <c r="L32" s="11" t="s">
        <v>121</v>
      </c>
      <c r="M32" s="11" t="s">
        <v>83</v>
      </c>
      <c r="N32" s="11" t="s">
        <v>40</v>
      </c>
    </row>
    <row r="33" customFormat="false" ht="57.45" hidden="false" customHeight="false" outlineLevel="0" collapsed="false">
      <c r="A33" s="11" t="s">
        <v>199</v>
      </c>
      <c r="B33" s="11" t="s">
        <v>10</v>
      </c>
      <c r="C33" s="11" t="s">
        <v>200</v>
      </c>
      <c r="D33" s="11" t="s">
        <v>115</v>
      </c>
      <c r="E33" s="11" t="s">
        <v>201</v>
      </c>
      <c r="F33" s="11" t="s">
        <v>117</v>
      </c>
      <c r="G33" s="11" t="s">
        <v>202</v>
      </c>
      <c r="H33" s="11" t="s">
        <v>119</v>
      </c>
      <c r="I33" s="11" t="s">
        <v>6</v>
      </c>
      <c r="J33" s="11" t="s">
        <v>120</v>
      </c>
      <c r="K33" s="11" t="s">
        <v>83</v>
      </c>
      <c r="L33" s="11" t="s">
        <v>121</v>
      </c>
      <c r="M33" s="11" t="s">
        <v>83</v>
      </c>
      <c r="N33" s="11" t="s">
        <v>40</v>
      </c>
    </row>
    <row r="34" customFormat="false" ht="35.05" hidden="false" customHeight="false" outlineLevel="0" collapsed="false">
      <c r="A34" s="11" t="s">
        <v>203</v>
      </c>
      <c r="B34" s="11" t="s">
        <v>10</v>
      </c>
      <c r="C34" s="11" t="s">
        <v>204</v>
      </c>
      <c r="D34" s="11" t="s">
        <v>205</v>
      </c>
      <c r="E34" s="11" t="s">
        <v>206</v>
      </c>
      <c r="F34" s="11" t="s">
        <v>117</v>
      </c>
      <c r="G34" s="11" t="s">
        <v>207</v>
      </c>
      <c r="H34" s="11" t="s">
        <v>119</v>
      </c>
      <c r="I34" s="11" t="s">
        <v>6</v>
      </c>
      <c r="J34" s="11" t="s">
        <v>120</v>
      </c>
      <c r="K34" s="11" t="s">
        <v>83</v>
      </c>
      <c r="L34" s="11" t="s">
        <v>121</v>
      </c>
      <c r="M34" s="11" t="s">
        <v>83</v>
      </c>
      <c r="N34" s="11" t="s">
        <v>58</v>
      </c>
    </row>
    <row r="35" customFormat="false" ht="46.25" hidden="false" customHeight="false" outlineLevel="0" collapsed="false">
      <c r="A35" s="11" t="s">
        <v>208</v>
      </c>
      <c r="B35" s="11" t="s">
        <v>10</v>
      </c>
      <c r="C35" s="11" t="s">
        <v>209</v>
      </c>
      <c r="D35" s="11" t="s">
        <v>210</v>
      </c>
      <c r="E35" s="11" t="s">
        <v>211</v>
      </c>
      <c r="F35" s="11" t="s">
        <v>117</v>
      </c>
      <c r="G35" s="11" t="s">
        <v>212</v>
      </c>
      <c r="H35" s="11" t="s">
        <v>119</v>
      </c>
      <c r="I35" s="11" t="s">
        <v>6</v>
      </c>
      <c r="J35" s="11" t="s">
        <v>120</v>
      </c>
      <c r="K35" s="11" t="s">
        <v>83</v>
      </c>
      <c r="L35" s="11" t="s">
        <v>121</v>
      </c>
      <c r="M35" s="11" t="s">
        <v>83</v>
      </c>
      <c r="N35" s="11" t="s">
        <v>40</v>
      </c>
    </row>
  </sheetData>
  <autoFilter ref="A1:N35"/>
  <conditionalFormatting sqref="I2:I35">
    <cfRule type="expression" priority="2" aboveAverage="0" equalAverage="0" bottom="0" percent="0" rank="0" text="" dxfId="6">
      <formula>$I2="Pasó"</formula>
    </cfRule>
    <cfRule type="expression" priority="3" aboveAverage="0" equalAverage="0" bottom="0" percent="0" rank="0" text="" dxfId="7">
      <formula>$I2="Falló"</formula>
    </cfRule>
    <cfRule type="expression" priority="4" aboveAverage="0" equalAverage="0" bottom="0" percent="0" rank="0" text="" dxfId="8">
      <formula>$I2="No ejecutado"</formula>
    </cfRule>
  </conditionalFormatting>
  <dataValidations count="1">
    <dataValidation allowBlank="false" errorStyle="stop" operator="between" showDropDown="false" showErrorMessage="false" showInputMessage="false" sqref="I2:I35" type="list">
      <formula1>"Pasó,Falló,No ejecutado,Bloqueado"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2026-10-10T00:26:19Z</dcterms:created>
  <dc:creator>openpyxl</dc:creator>
  <dc:description/>
  <dc:language>en-US</dc:language>
  <cp:lastModifiedBy/>
  <dcterms:modified xsi:type="dcterms:W3CDTF">2026-10-10T00:26:19Z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