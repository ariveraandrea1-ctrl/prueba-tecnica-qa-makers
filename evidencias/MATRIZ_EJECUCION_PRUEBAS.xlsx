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I reqres" sheetId="1" state="visible" r:id="rId3"/>
    <sheet name="Login SauceDemo" sheetId="2" state="visible" r:id="rId4"/>
    <sheet name="MakersPay" sheetId="3" state="visible" r:id="rId5"/>
    <sheet name="Resum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<sst xmlns="http://schemas.openxmlformats.org/spreadsheetml/2006/main" count="246" uniqueCount="144">
  <si>
    <t xml:space="preserve">No</t>
  </si>
  <si>
    <t xml:space="preserve">Caso de Prueba</t>
  </si>
  <si>
    <t xml:space="preserve">Datos de la prueba</t>
  </si>
  <si>
    <t xml:space="preserve">Pasos</t>
  </si>
  <si>
    <t xml:space="preserve">Resultado esperado</t>
  </si>
  <si>
    <t xml:space="preserve">Resultado obtenido</t>
  </si>
  <si>
    <t xml:space="preserve">Estatus</t>
  </si>
  <si>
    <t xml:space="preserve">Enlace al defecto</t>
  </si>
  <si>
    <t xml:space="preserve">Verificar que el sistema cree un usuario con datos válidos y devuelva su id</t>
  </si>
  <si>
    <t xml:space="preserve">Headers: x-api-key, Content-Type: application/json
Body:
{
  "name": "Test User",
  "job": "Automation Engineer"
}</t>
  </si>
  <si>
    <t xml:space="preserve">1. Seleccionar el método POST en Postman.
2. Enviar la solicitud a: https://reqres.in/api/users
3. Enviar el body con name y job.
4. Ejecutar la solicitud.</t>
  </si>
  <si>
    <t xml:space="preserve">- 201 Created
- La respuesta trae name, job, id y createdAt</t>
  </si>
  <si>
    <t xml:space="preserve">- 201 Created
- Devuelve name, job, id "365" y createdAt
- Observación: el id llega como texto (H-03)</t>
  </si>
  <si>
    <t xml:space="preserve">Passed</t>
  </si>
  <si>
    <t xml:space="preserve">Verificar que el usuario creado con POST se pueda consultar con GET usando el id devuelto</t>
  </si>
  <si>
    <t xml:space="preserve">Path params: id = id devuelto por el POST (365)
Headers: x-api-key</t>
  </si>
  <si>
    <t xml:space="preserve">1. Ejecutar el POST del caso 1 y copiar el id.
2. Seleccionar el método GET.
3. Enviar la solicitud a: https://reqres.in/api/users/365
4. Ejecutar la solicitud.</t>
  </si>
  <si>
    <t xml:space="preserve">- 200 OK
- name: "Test User"
- job: "Automation Engineer"</t>
  </si>
  <si>
    <t xml:space="preserve">- 404 Not Found
- Body vacío {}
- reqres.in no guarda los usuarios creados</t>
  </si>
  <si>
    <t xml:space="preserve">Failed</t>
  </si>
  <si>
    <t xml:space="preserve">https://github.com/ariveraandrea1-ctrl/prueba-tecnica-qa-makers/issues/2</t>
  </si>
  <si>
    <t xml:space="preserve">Verificar que el sistema devuelva los datos de un usuario existente</t>
  </si>
  <si>
    <t xml:space="preserve">Path params: id = 2
Headers: x-api-key</t>
  </si>
  <si>
    <t xml:space="preserve">1. Seleccionar el método GET.
2. Enviar la solicitud a: https://reqres.in/api/users/2
3. Ejecutar la solicitud.</t>
  </si>
  <si>
    <t xml:space="preserve">- 200 OK
- La respuesta trae id, email, first_name, last_name y avatar</t>
  </si>
  <si>
    <t xml:space="preserve">- 200 OK
- Devuelve a Janet Weaver con todos sus campos
- Observación: el id llega como número (H-03)</t>
  </si>
  <si>
    <t xml:space="preserve">Verificar que el sistema responda 404 al consultar un usuario que no existe (id = 23)</t>
  </si>
  <si>
    <t xml:space="preserve">Path params: id = 23
Headers: x-api-key</t>
  </si>
  <si>
    <t xml:space="preserve">1. Seleccionar el método GET.
2. Enviar la solicitud a: https://reqres.in/api/users/23
3. Ejecutar la solicitud.</t>
  </si>
  <si>
    <t xml:space="preserve">404 Not Found</t>
  </si>
  <si>
    <t xml:space="preserve">- 404 Not Found
- Body vacío {}, sin mensaje de error (H-04)</t>
  </si>
  <si>
    <t xml:space="preserve">Verificar que el sistema responda 404 al consultar un id muy grande (999)</t>
  </si>
  <si>
    <t xml:space="preserve">Path params: id = 999
Headers: x-api-key</t>
  </si>
  <si>
    <t xml:space="preserve">1. Seleccionar el método GET.
2. Enviar la solicitud a: https://reqres.in/api/users/999
3. Ejecutar la solicitud.</t>
  </si>
  <si>
    <t xml:space="preserve">Verificar que el sistema rechace la creación de un usuario sin el header x-api-key</t>
  </si>
  <si>
    <t xml:space="preserve">Headers: Content-Type: application/json (sin x-api-key)
Body:
{
  "name": "Test User",
  "job": "Automation Engineer"
}</t>
  </si>
  <si>
    <t xml:space="preserve">1. Seleccionar el método POST.
2. Desmarcar el header x-api-key.
3. Enviar la solicitud a: https://reqres.in/api/users
4. Ejecutar la solicitud.</t>
  </si>
  <si>
    <t xml:space="preserve">401 Unauthorized o 403 Forbidden</t>
  </si>
  <si>
    <t xml:space="preserve">- 201 Created
- Crea el usuario (id "382")
- "context": "legacy_success"</t>
  </si>
  <si>
    <t xml:space="preserve">https://github.com/ariveraandrea1-ctrl/prueba-tecnica-qa-makers/issues/1</t>
  </si>
  <si>
    <t xml:space="preserve">Verificar que el usuario pueda iniciar sesión con credenciales válidas</t>
  </si>
  <si>
    <t xml:space="preserve">Usuario: standard_user
Contraseña: secret_sauce</t>
  </si>
  <si>
    <t xml:space="preserve">1. Abrir https://www.saucedemo.com
2. Ingresar el usuario.
3. Ingresar la contraseña.
4. Hacer clic en Login.</t>
  </si>
  <si>
    <t xml:space="preserve">- Redirige a la página de inventario
- El título es "Products"</t>
  </si>
  <si>
    <t xml:space="preserve">- Redirige a /inventory.html
- El título es "Products"</t>
  </si>
  <si>
    <t xml:space="preserve">Verificar que el sistema no permita iniciar sesión con una contraseña incorrecta</t>
  </si>
  <si>
    <t xml:space="preserve">Usuario: standard_user
Contraseña: clave_incorrecta</t>
  </si>
  <si>
    <t xml:space="preserve">- Mensaje: "Epic sadface: Username and password do not match any user in this service"
- No permite el acceso</t>
  </si>
  <si>
    <t xml:space="preserve">- Muestra el mensaje esperado
- Permanece en la página de login</t>
  </si>
  <si>
    <t xml:space="preserve">Verificar que el sistema pida el usuario cuando ambos campos están vacíos</t>
  </si>
  <si>
    <t xml:space="preserve">Usuario: (vacío)
Contraseña: (vacío)</t>
  </si>
  <si>
    <t xml:space="preserve">Mensaje: "Epic sadface: Username is required"</t>
  </si>
  <si>
    <t xml:space="preserve">Muestra el mensaje esperado</t>
  </si>
  <si>
    <t xml:space="preserve">Verificar que el sistema pida el usuario cuando solo la contraseña está diligenciada</t>
  </si>
  <si>
    <t xml:space="preserve">Usuario: (vacío)
Contraseña: secret_sauce</t>
  </si>
  <si>
    <t xml:space="preserve">Verificar que el sistema pida la contraseña cuando solo el usuario está diligenciado</t>
  </si>
  <si>
    <t xml:space="preserve">Usuario: standard_user
Contraseña: (vacío)</t>
  </si>
  <si>
    <t xml:space="preserve">Mensaje: "Epic sadface: Password is required"</t>
  </si>
  <si>
    <t xml:space="preserve">Verificar que un usuario bloqueado no pueda iniciar sesión</t>
  </si>
  <si>
    <t xml:space="preserve">Usuario: locked_out_user
Contraseña: secret_sauce</t>
  </si>
  <si>
    <t xml:space="preserve">Mensaje: "Epic sadface: Sorry, this user has been locked out."</t>
  </si>
  <si>
    <t xml:space="preserve">Verificar que un usuario que no existe no pueda iniciar sesión</t>
  </si>
  <si>
    <t xml:space="preserve">Usuario: usuario_que_no_existe
Contraseña: secret_sauce</t>
  </si>
  <si>
    <t xml:space="preserve">Mensaje: "Epic sadface: Username and password do not match any user in this service"</t>
  </si>
  <si>
    <t xml:space="preserve">Verificar: enviar dinero exitosamente a otro usuario registrado</t>
  </si>
  <si>
    <t xml:space="preserve">Precondiciones: Ana autenticada, saldo $100.000
Datos: 3104445566 · $20.000</t>
  </si>
  <si>
    <t xml:space="preserve">1. Ir a "Enviar dinero"
2. Ingresar celular
3. Ingresar monto
4. Confirmar</t>
  </si>
  <si>
    <t xml:space="preserve">Mensaje de envío exitoso. La transacción queda en estado *Exitosa*</t>
  </si>
  <si>
    <t xml:space="preserve">No ejecutado (MakersPay es un producto ficticio)</t>
  </si>
  <si>
    <t xml:space="preserve">Not executed</t>
  </si>
  <si>
    <t xml:space="preserve">Verificar: intentar enviar dinero sin haber iniciado sesión</t>
  </si>
  <si>
    <t xml:space="preserve">Precondiciones: Usuario sin sesión iniciada
Datos: —</t>
  </si>
  <si>
    <t xml:space="preserve">1. Abrir la app
2. Intentar entrar a "Enviar dinero"</t>
  </si>
  <si>
    <t xml:space="preserve">La app pide iniciar sesión y no permite acceder al envío</t>
  </si>
  <si>
    <t xml:space="preserve">Verificar: enviar el monto mínimo permitido</t>
  </si>
  <si>
    <t xml:space="preserve">Precondiciones: Ana autenticada, saldo $100.000
Datos: 3104445566 · $5.000</t>
  </si>
  <si>
    <t xml:space="preserve">Pasos 1 a 4 de CP-F-01</t>
  </si>
  <si>
    <t xml:space="preserve">Envío exitoso. Saldo de Ana: $95.000</t>
  </si>
  <si>
    <t xml:space="preserve">Precondiciones: Ana autenticada, saldo $100.000
Datos: 3104445566 · $5.001</t>
  </si>
  <si>
    <t xml:space="preserve">Envío exitoso. Saldo de Ana: $94.999</t>
  </si>
  <si>
    <t xml:space="preserve">Verificar: enviar el monto máximo permitido</t>
  </si>
  <si>
    <t xml:space="preserve">Precondiciones: Ana autenticada, saldo $3.000.000
Datos: 3104445566 · $2.000.000</t>
  </si>
  <si>
    <t xml:space="preserve">Envío exitoso. Saldo de Ana: $1.000.000</t>
  </si>
  <si>
    <t xml:space="preserve">Precondiciones: Ana autenticada, saldo $3.000.000
Datos: 3104445566 · $1.999.999</t>
  </si>
  <si>
    <t xml:space="preserve">Envío exitoso. Saldo de Ana: $1.000.001</t>
  </si>
  <si>
    <t xml:space="preserve">Verificar: intentar enviar menos del monto mínimo</t>
  </si>
  <si>
    <t xml:space="preserve">Precondiciones: Ana autenticada, saldo $100.000
Datos: 3104445566 · $4.999</t>
  </si>
  <si>
    <t xml:space="preserve">Mensaje: el monto mínimo es $5.000. Ningún saldo cambia</t>
  </si>
  <si>
    <t xml:space="preserve">Verificar: intentar enviar más del monto máximo</t>
  </si>
  <si>
    <t xml:space="preserve">Precondiciones: Ana autenticada, saldo $3.000.000
Datos: 3104445566 · $2.000.001</t>
  </si>
  <si>
    <t xml:space="preserve">Mensaje: el monto máximo es $2.000.000. Ningún saldo cambia</t>
  </si>
  <si>
    <t xml:space="preserve">Verificar: enviar un monto igual al saldo disponible</t>
  </si>
  <si>
    <t xml:space="preserve">Precondiciones: Ana autenticada, saldo $100.000
Datos: 3104445566 · $100.000</t>
  </si>
  <si>
    <t xml:space="preserve">Envío exitoso. Saldo de Ana: $0</t>
  </si>
  <si>
    <t xml:space="preserve">Verificar: intentar enviar un monto mayor al saldo disponible</t>
  </si>
  <si>
    <t xml:space="preserve">Precondiciones: Ana autenticada, saldo $100.000
Datos: 3104445566 · $100.001</t>
  </si>
  <si>
    <t xml:space="preserve">Mensaje de saldo insuficiente. Ningún saldo cambia</t>
  </si>
  <si>
    <t xml:space="preserve">Verificar: verificar el descuento del saldo del remitente tras un envío exitoso</t>
  </si>
  <si>
    <t xml:space="preserve">Precondiciones: CP-F-01 ejecutado con éxito
Datos: —</t>
  </si>
  <si>
    <t xml:space="preserve">1. Ir a la pantalla principal de Ana
2. Consultar el saldo</t>
  </si>
  <si>
    <t xml:space="preserve">Saldo de Ana: $80.000 ($100.000 − $20.000)</t>
  </si>
  <si>
    <t xml:space="preserve">Verificar: verificar el aumento del saldo del destinatario tras un envío exitoso</t>
  </si>
  <si>
    <t xml:space="preserve">1. Iniciar sesión como Carlos
2. Consultar el saldo</t>
  </si>
  <si>
    <t xml:space="preserve">Saldo de Carlos: $70.000 ($50.000 + $20.000)</t>
  </si>
  <si>
    <t xml:space="preserve">Verificar: verificar que el movimiento aparezca en el historial de ambos usuarios</t>
  </si>
  <si>
    <t xml:space="preserve">1. Revisar el historial de Ana
2. Revisar el historial de Carlos</t>
  </si>
  <si>
    <t xml:space="preserve">Ana: movimiento de salida por $20.000 hacia 3104445566. Carlos: movimiento de entrada por $20.000 desde 3001112233. Ambos con fecha y hora</t>
  </si>
  <si>
    <t xml:space="preserve">Verificar: verificar que una transacción fallida no afecte ningún saldo</t>
  </si>
  <si>
    <t xml:space="preserve">1. Ejecutar CP-F-10 (envío que falla)
2. Consultar el saldo y el historial de Ana y de Carlos</t>
  </si>
  <si>
    <t xml:space="preserve">Saldos sin cambios (Ana $100.000, Carlos $50.000). No aparece ningún movimiento nuevo en los historiales</t>
  </si>
  <si>
    <t xml:space="preserve">Verificar: intentar enviar dinero al propio número de celular</t>
  </si>
  <si>
    <t xml:space="preserve">Precondiciones: Ana autenticada, saldo $100.000
Datos: 3001112233 (propio) · $20.000</t>
  </si>
  <si>
    <t xml:space="preserve">Mensaje: no puedes enviarte dinero a ti mismo. Ningún saldo cambia</t>
  </si>
  <si>
    <t xml:space="preserve">Verificar: intentar enviar dinero a un número no registrado</t>
  </si>
  <si>
    <t xml:space="preserve">Precondiciones: Ana autenticada, saldo $100.000
Datos: 3209998877 · $20.000</t>
  </si>
  <si>
    <t xml:space="preserve">Mensaje: el número no está registrado en MakersPay. Ningún saldo cambia</t>
  </si>
  <si>
    <t xml:space="preserve">Verificar: intentar enviar a un celular con formato inválido</t>
  </si>
  <si>
    <t xml:space="preserve">Precondiciones: Ana autenticada
Datos: 300123456 (9 dígitos) · 30011122ab · 2001112233 · campo vacío</t>
  </si>
  <si>
    <t xml:space="preserve">Pasos 1 y 2 de CP-F-01 con cada dato</t>
  </si>
  <si>
    <t xml:space="preserve">Mensaje de formato de celular inválido en cada caso. No permite continuar</t>
  </si>
  <si>
    <t xml:space="preserve">Verificar: intentar enviar montos no válidos (cero, negativos, decimales o texto)</t>
  </si>
  <si>
    <t xml:space="preserve">Precondiciones: Ana autenticada
Datos: $0 · −$10.000 · $5.000,50 · "abc"</t>
  </si>
  <si>
    <t xml:space="preserve">Pasos 1 a 3 de CP-F-01 con cada dato</t>
  </si>
  <si>
    <t xml:space="preserve">El campo rechaza el valor o muestra mensaje de monto inválido. No permite continuar</t>
  </si>
  <si>
    <t xml:space="preserve">Verificar: tocar "Enviar" dos veces seguidas</t>
  </si>
  <si>
    <t xml:space="preserve">1. Completar los pasos 1 a 3 de CP-F-01
2. Tocar "Confirmar" dos veces seguidas muy rápido</t>
  </si>
  <si>
    <t xml:space="preserve">Se procesa una sola transacción. Saldo de Ana: $80.000. Un solo movimiento en el historial</t>
  </si>
  <si>
    <t xml:space="preserve">Verificar: perder la conexión a internet al confirmar el envío</t>
  </si>
  <si>
    <t xml:space="preserve">1. Completar los pasos 1 a 3 de CP-F-01
2. Activar el modo avión
3. Tocar "Confirmar"
4. Desactivar el modo avión</t>
  </si>
  <si>
    <t xml:space="preserve">Mensaje claro de falta de conexión. Los saldos quedan consistentes: o la transacción se completa en ambos lados o no se realiza en ninguno (ver P-05)</t>
  </si>
  <si>
    <t xml:space="preserve">Verificar: intentar enviar con la sesión expirada</t>
  </si>
  <si>
    <t xml:space="preserve">Precondiciones: Ana autenticada y sesión expirada antes de confirmar
Datos: 3104445566 · $20.000</t>
  </si>
  <si>
    <t xml:space="preserve">1. Completar los pasos 1 a 3 de CP-F-01
2. Esperar a que expire la sesión
3. Tocar "Confirmar"</t>
  </si>
  <si>
    <t xml:space="preserve">La app pide iniciar sesión de nuevo y la transacción no se procesa</t>
  </si>
  <si>
    <t xml:space="preserve">Verificar: enviar dinero desde distintas plataformas y navegadores</t>
  </si>
  <si>
    <t xml:space="preserve">Precondiciones: Ana autenticada, saldo $100.000, en cada plataforma
Datos: 3104445566 · $20.000</t>
  </si>
  <si>
    <t xml:space="preserve">Pasos 1 a 4 de CP-F-01 en: Android, iOS, Chrome, Safari</t>
  </si>
  <si>
    <t xml:space="preserve">El envío es exitoso y se comporta igual en todas las plataformas. Saldo de Ana: $80.000 en cada ejecución (restaurando el saldo entre pruebas)</t>
  </si>
  <si>
    <t xml:space="preserve">Hoja</t>
  </si>
  <si>
    <t xml:space="preserve">Total</t>
  </si>
  <si>
    <t xml:space="preserve">API reqres</t>
  </si>
  <si>
    <t xml:space="preserve">Login SauceDemo</t>
  </si>
  <si>
    <t xml:space="preserve">MakersPay</t>
  </si>
  <si>
    <t xml:space="preserve">Ejecución: 09/10/2026. API probado en Postman y automatizado con pytest; login automatizado con Selenium. MakersPay es ficticio: sus casos están diseñados, no ejecutados.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</si>
</sst>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434343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EAD3"/>
        </patternFill>
      </fill>
    </dxf>
    <dxf>
      <fill>
        <patternFill>
          <bgColor rgb="FFF4CCCC"/>
        </patternFill>
      </fill>
    </dxf>
    <dxf>
      <fill>
        <patternFill>
          <bgColor rgb="FFEFEFEF"/>
        </patternFill>
      </fill>
    </dxf>
  </dxfs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github.com/ariveraandrea1-ctrl/prueba-tecnica-qa-makers/issues/2" TargetMode="External"/><Relationship Id="rId2" Type="http://schemas.openxmlformats.org/officeDocument/2006/relationships/hyperlink" Target="https://github.com/ariveraandrea1-ctrl/prueba-tecnica-qa-makers/issues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91" hidden="false" customHeight="false" outlineLevel="0" collapsed="false">
      <c r="A2" s="2" t="n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</row>
    <row r="3" customFormat="false" ht="46.25" hidden="false" customHeight="false" outlineLevel="0" collapsed="false">
      <c r="A3" s="2" t="n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3" t="s">
        <v>20</v>
      </c>
    </row>
    <row r="4" customFormat="false" ht="57.45" hidden="false" customHeight="false" outlineLevel="0" collapsed="false">
      <c r="A4" s="2" t="n">
        <v>3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13</v>
      </c>
      <c r="H4" s="2"/>
    </row>
    <row r="5" customFormat="false" ht="35.05" hidden="false" customHeight="false" outlineLevel="0" collapsed="false">
      <c r="A5" s="2" t="n">
        <v>4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13</v>
      </c>
      <c r="H5" s="2"/>
    </row>
    <row r="6" customFormat="false" ht="35.05" hidden="false" customHeight="false" outlineLevel="0" collapsed="false">
      <c r="A6" s="2" t="n">
        <v>5</v>
      </c>
      <c r="B6" s="2" t="s">
        <v>31</v>
      </c>
      <c r="C6" s="2" t="s">
        <v>32</v>
      </c>
      <c r="D6" s="2" t="s">
        <v>33</v>
      </c>
      <c r="E6" s="2" t="s">
        <v>29</v>
      </c>
      <c r="F6" s="2" t="s">
        <v>29</v>
      </c>
      <c r="G6" s="2" t="s">
        <v>13</v>
      </c>
      <c r="H6" s="2"/>
    </row>
    <row r="7" customFormat="false" ht="91" hidden="false" customHeight="false" outlineLevel="0" collapsed="false">
      <c r="A7" s="2" t="n">
        <v>6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19</v>
      </c>
      <c r="H7" s="3" t="s">
        <v>39</v>
      </c>
    </row>
  </sheetData>
  <conditionalFormatting sqref="G2:G7">
    <cfRule type="expression" priority="2" aboveAverage="0" equalAverage="0" bottom="0" percent="0" rank="0" text="" dxfId="0">
      <formula>$G2="Passed"</formula>
    </cfRule>
    <cfRule type="expression" priority="3" aboveAverage="0" equalAverage="0" bottom="0" percent="0" rank="0" text="" dxfId="1">
      <formula>$G2="Failed"</formula>
    </cfRule>
    <cfRule type="expression" priority="4" aboveAverage="0" equalAverage="0" bottom="0" percent="0" rank="0" text="" dxfId="2">
      <formula>$G2="Not executed"</formula>
    </cfRule>
  </conditionalFormatting>
  <dataValidations count="1">
    <dataValidation allowBlank="true" errorStyle="stop" operator="between" showDropDown="false" showErrorMessage="false" showInputMessage="false" sqref="G2:G7" type="list">
      <formula1>"Passed,Failed,Not executed"</formula1>
      <formula2>0</formula2>
    </dataValidation>
  </dataValidations>
  <hyperlinks>
    <hyperlink ref="H3" r:id="rId1" display="https://github.com/ariveraandrea1-ctrl/prueba-tecnica-qa-makers/issues/2"/>
    <hyperlink ref="H7" r:id="rId2" display="https://github.com/ariveraandrea1-ctrl/prueba-tecnica-qa-makers/issues/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n">
        <v>1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13</v>
      </c>
      <c r="H2" s="2"/>
    </row>
    <row r="3" customFormat="false" ht="46.25" hidden="false" customHeight="false" outlineLevel="0" collapsed="false">
      <c r="A3" s="2" t="n">
        <v>2</v>
      </c>
      <c r="B3" s="2" t="s">
        <v>45</v>
      </c>
      <c r="C3" s="2" t="s">
        <v>46</v>
      </c>
      <c r="D3" s="2" t="s">
        <v>42</v>
      </c>
      <c r="E3" s="2" t="s">
        <v>47</v>
      </c>
      <c r="F3" s="2" t="s">
        <v>48</v>
      </c>
      <c r="G3" s="2" t="s">
        <v>13</v>
      </c>
      <c r="H3" s="2"/>
    </row>
    <row r="4" customFormat="false" ht="46.25" hidden="false" customHeight="false" outlineLevel="0" collapsed="false">
      <c r="A4" s="2" t="n">
        <v>3</v>
      </c>
      <c r="B4" s="2" t="s">
        <v>49</v>
      </c>
      <c r="C4" s="2" t="s">
        <v>50</v>
      </c>
      <c r="D4" s="2" t="s">
        <v>42</v>
      </c>
      <c r="E4" s="2" t="s">
        <v>51</v>
      </c>
      <c r="F4" s="2" t="s">
        <v>52</v>
      </c>
      <c r="G4" s="2" t="s">
        <v>13</v>
      </c>
      <c r="H4" s="2"/>
    </row>
    <row r="5" customFormat="false" ht="46.25" hidden="false" customHeight="false" outlineLevel="0" collapsed="false">
      <c r="A5" s="2" t="n">
        <v>4</v>
      </c>
      <c r="B5" s="2" t="s">
        <v>53</v>
      </c>
      <c r="C5" s="2" t="s">
        <v>54</v>
      </c>
      <c r="D5" s="2" t="s">
        <v>42</v>
      </c>
      <c r="E5" s="2" t="s">
        <v>51</v>
      </c>
      <c r="F5" s="2" t="s">
        <v>52</v>
      </c>
      <c r="G5" s="2" t="s">
        <v>13</v>
      </c>
      <c r="H5" s="2"/>
    </row>
    <row r="6" customFormat="false" ht="46.25" hidden="false" customHeight="false" outlineLevel="0" collapsed="false">
      <c r="A6" s="2" t="n">
        <v>5</v>
      </c>
      <c r="B6" s="2" t="s">
        <v>55</v>
      </c>
      <c r="C6" s="2" t="s">
        <v>56</v>
      </c>
      <c r="D6" s="2" t="s">
        <v>42</v>
      </c>
      <c r="E6" s="2" t="s">
        <v>57</v>
      </c>
      <c r="F6" s="2" t="s">
        <v>52</v>
      </c>
      <c r="G6" s="2" t="s">
        <v>13</v>
      </c>
      <c r="H6" s="2"/>
    </row>
    <row r="7" customFormat="false" ht="46.25" hidden="false" customHeight="false" outlineLevel="0" collapsed="false">
      <c r="A7" s="2" t="n">
        <v>6</v>
      </c>
      <c r="B7" s="2" t="s">
        <v>58</v>
      </c>
      <c r="C7" s="2" t="s">
        <v>59</v>
      </c>
      <c r="D7" s="2" t="s">
        <v>42</v>
      </c>
      <c r="E7" s="2" t="s">
        <v>60</v>
      </c>
      <c r="F7" s="2" t="s">
        <v>52</v>
      </c>
      <c r="G7" s="2" t="s">
        <v>13</v>
      </c>
      <c r="H7" s="2"/>
    </row>
    <row r="8" customFormat="false" ht="46.25" hidden="false" customHeight="false" outlineLevel="0" collapsed="false">
      <c r="A8" s="2" t="n">
        <v>7</v>
      </c>
      <c r="B8" s="2" t="s">
        <v>61</v>
      </c>
      <c r="C8" s="2" t="s">
        <v>62</v>
      </c>
      <c r="D8" s="2" t="s">
        <v>42</v>
      </c>
      <c r="E8" s="2" t="s">
        <v>63</v>
      </c>
      <c r="F8" s="2" t="s">
        <v>52</v>
      </c>
      <c r="G8" s="2" t="s">
        <v>13</v>
      </c>
      <c r="H8" s="2"/>
    </row>
  </sheetData>
  <conditionalFormatting sqref="G2:G8">
    <cfRule type="expression" priority="2" aboveAverage="0" equalAverage="0" bottom="0" percent="0" rank="0" text="" dxfId="0">
      <formula>$G2="Passed"</formula>
    </cfRule>
    <cfRule type="expression" priority="3" aboveAverage="0" equalAverage="0" bottom="0" percent="0" rank="0" text="" dxfId="1">
      <formula>$G2="Failed"</formula>
    </cfRule>
    <cfRule type="expression" priority="4" aboveAverage="0" equalAverage="0" bottom="0" percent="0" rank="0" text="" dxfId="2">
      <formula>$G2="Not executed"</formula>
    </cfRule>
  </conditionalFormatting>
  <dataValidations count="1">
    <dataValidation allowBlank="true" errorStyle="stop" operator="between" showDropDown="false" showErrorMessage="false" showInputMessage="false" sqref="G2:G8" type="list">
      <formula1>"Passed,Failed,Not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32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46.25" hidden="false" customHeight="false" outlineLevel="0" collapsed="false">
      <c r="A2" s="2" t="n">
        <v>1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/>
    </row>
    <row r="3" customFormat="false" ht="35.05" hidden="false" customHeight="false" outlineLevel="0" collapsed="false">
      <c r="A3" s="2" t="n">
        <v>2</v>
      </c>
      <c r="B3" s="2" t="s">
        <v>70</v>
      </c>
      <c r="C3" s="2" t="s">
        <v>71</v>
      </c>
      <c r="D3" s="2" t="s">
        <v>72</v>
      </c>
      <c r="E3" s="2" t="s">
        <v>73</v>
      </c>
      <c r="F3" s="2" t="s">
        <v>68</v>
      </c>
      <c r="G3" s="2" t="s">
        <v>69</v>
      </c>
      <c r="H3" s="2"/>
    </row>
    <row r="4" customFormat="false" ht="46.25" hidden="false" customHeight="false" outlineLevel="0" collapsed="false">
      <c r="A4" s="2" t="n">
        <v>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68</v>
      </c>
      <c r="G4" s="2" t="s">
        <v>69</v>
      </c>
      <c r="H4" s="2"/>
    </row>
    <row r="5" customFormat="false" ht="46.25" hidden="false" customHeight="false" outlineLevel="0" collapsed="false">
      <c r="A5" s="2" t="n">
        <v>4</v>
      </c>
      <c r="B5" s="2" t="s">
        <v>74</v>
      </c>
      <c r="C5" s="2" t="s">
        <v>78</v>
      </c>
      <c r="D5" s="2" t="s">
        <v>76</v>
      </c>
      <c r="E5" s="2" t="s">
        <v>79</v>
      </c>
      <c r="F5" s="2" t="s">
        <v>68</v>
      </c>
      <c r="G5" s="2" t="s">
        <v>69</v>
      </c>
      <c r="H5" s="2"/>
    </row>
    <row r="6" customFormat="false" ht="46.25" hidden="false" customHeight="false" outlineLevel="0" collapsed="false">
      <c r="A6" s="2" t="n">
        <v>5</v>
      </c>
      <c r="B6" s="2" t="s">
        <v>80</v>
      </c>
      <c r="C6" s="2" t="s">
        <v>81</v>
      </c>
      <c r="D6" s="2" t="s">
        <v>76</v>
      </c>
      <c r="E6" s="2" t="s">
        <v>82</v>
      </c>
      <c r="F6" s="2" t="s">
        <v>68</v>
      </c>
      <c r="G6" s="2" t="s">
        <v>69</v>
      </c>
      <c r="H6" s="2"/>
    </row>
    <row r="7" customFormat="false" ht="46.25" hidden="false" customHeight="false" outlineLevel="0" collapsed="false">
      <c r="A7" s="2" t="n">
        <v>6</v>
      </c>
      <c r="B7" s="2" t="s">
        <v>80</v>
      </c>
      <c r="C7" s="2" t="s">
        <v>83</v>
      </c>
      <c r="D7" s="2" t="s">
        <v>76</v>
      </c>
      <c r="E7" s="2" t="s">
        <v>84</v>
      </c>
      <c r="F7" s="2" t="s">
        <v>68</v>
      </c>
      <c r="G7" s="2" t="s">
        <v>69</v>
      </c>
      <c r="H7" s="2"/>
    </row>
    <row r="8" customFormat="false" ht="46.25" hidden="false" customHeight="false" outlineLevel="0" collapsed="false">
      <c r="A8" s="2" t="n">
        <v>7</v>
      </c>
      <c r="B8" s="2" t="s">
        <v>85</v>
      </c>
      <c r="C8" s="2" t="s">
        <v>86</v>
      </c>
      <c r="D8" s="2" t="s">
        <v>76</v>
      </c>
      <c r="E8" s="2" t="s">
        <v>87</v>
      </c>
      <c r="F8" s="2" t="s">
        <v>68</v>
      </c>
      <c r="G8" s="2" t="s">
        <v>69</v>
      </c>
      <c r="H8" s="2"/>
    </row>
    <row r="9" customFormat="false" ht="46.25" hidden="false" customHeight="false" outlineLevel="0" collapsed="false">
      <c r="A9" s="2" t="n">
        <v>8</v>
      </c>
      <c r="B9" s="2" t="s">
        <v>88</v>
      </c>
      <c r="C9" s="2" t="s">
        <v>89</v>
      </c>
      <c r="D9" s="2" t="s">
        <v>76</v>
      </c>
      <c r="E9" s="2" t="s">
        <v>90</v>
      </c>
      <c r="F9" s="2" t="s">
        <v>68</v>
      </c>
      <c r="G9" s="2" t="s">
        <v>69</v>
      </c>
      <c r="H9" s="2"/>
    </row>
    <row r="10" customFormat="false" ht="46.25" hidden="false" customHeight="false" outlineLevel="0" collapsed="false">
      <c r="A10" s="2" t="n">
        <v>9</v>
      </c>
      <c r="B10" s="2" t="s">
        <v>91</v>
      </c>
      <c r="C10" s="2" t="s">
        <v>92</v>
      </c>
      <c r="D10" s="2" t="s">
        <v>76</v>
      </c>
      <c r="E10" s="2" t="s">
        <v>93</v>
      </c>
      <c r="F10" s="2" t="s">
        <v>68</v>
      </c>
      <c r="G10" s="2" t="s">
        <v>69</v>
      </c>
      <c r="H10" s="2"/>
    </row>
    <row r="11" customFormat="false" ht="46.25" hidden="false" customHeight="false" outlineLevel="0" collapsed="false">
      <c r="A11" s="2" t="n">
        <v>10</v>
      </c>
      <c r="B11" s="2" t="s">
        <v>94</v>
      </c>
      <c r="C11" s="2" t="s">
        <v>95</v>
      </c>
      <c r="D11" s="2" t="s">
        <v>76</v>
      </c>
      <c r="E11" s="2" t="s">
        <v>96</v>
      </c>
      <c r="F11" s="2" t="s">
        <v>68</v>
      </c>
      <c r="G11" s="2" t="s">
        <v>69</v>
      </c>
      <c r="H11" s="2"/>
    </row>
    <row r="12" customFormat="false" ht="46.25" hidden="false" customHeight="false" outlineLevel="0" collapsed="false">
      <c r="A12" s="2" t="n">
        <v>11</v>
      </c>
      <c r="B12" s="2" t="s">
        <v>97</v>
      </c>
      <c r="C12" s="2" t="s">
        <v>98</v>
      </c>
      <c r="D12" s="2" t="s">
        <v>99</v>
      </c>
      <c r="E12" s="2" t="s">
        <v>100</v>
      </c>
      <c r="F12" s="2" t="s">
        <v>68</v>
      </c>
      <c r="G12" s="2" t="s">
        <v>69</v>
      </c>
      <c r="H12" s="2"/>
    </row>
    <row r="13" customFormat="false" ht="46.25" hidden="false" customHeight="false" outlineLevel="0" collapsed="false">
      <c r="A13" s="2" t="n">
        <v>12</v>
      </c>
      <c r="B13" s="2" t="s">
        <v>101</v>
      </c>
      <c r="C13" s="2" t="s">
        <v>98</v>
      </c>
      <c r="D13" s="2" t="s">
        <v>102</v>
      </c>
      <c r="E13" s="2" t="s">
        <v>103</v>
      </c>
      <c r="F13" s="2" t="s">
        <v>68</v>
      </c>
      <c r="G13" s="2" t="s">
        <v>69</v>
      </c>
      <c r="H13" s="2"/>
    </row>
    <row r="14" customFormat="false" ht="57.45" hidden="false" customHeight="false" outlineLevel="0" collapsed="false">
      <c r="A14" s="2" t="n">
        <v>13</v>
      </c>
      <c r="B14" s="2" t="s">
        <v>104</v>
      </c>
      <c r="C14" s="2" t="s">
        <v>98</v>
      </c>
      <c r="D14" s="2" t="s">
        <v>105</v>
      </c>
      <c r="E14" s="2" t="s">
        <v>106</v>
      </c>
      <c r="F14" s="2" t="s">
        <v>68</v>
      </c>
      <c r="G14" s="2" t="s">
        <v>69</v>
      </c>
      <c r="H14" s="2"/>
    </row>
    <row r="15" customFormat="false" ht="46.25" hidden="false" customHeight="false" outlineLevel="0" collapsed="false">
      <c r="A15" s="2" t="n">
        <v>14</v>
      </c>
      <c r="B15" s="2" t="s">
        <v>107</v>
      </c>
      <c r="C15" s="2" t="s">
        <v>95</v>
      </c>
      <c r="D15" s="2" t="s">
        <v>108</v>
      </c>
      <c r="E15" s="2" t="s">
        <v>109</v>
      </c>
      <c r="F15" s="2" t="s">
        <v>68</v>
      </c>
      <c r="G15" s="2" t="s">
        <v>69</v>
      </c>
      <c r="H15" s="2"/>
    </row>
    <row r="16" customFormat="false" ht="46.25" hidden="false" customHeight="false" outlineLevel="0" collapsed="false">
      <c r="A16" s="2" t="n">
        <v>15</v>
      </c>
      <c r="B16" s="2" t="s">
        <v>110</v>
      </c>
      <c r="C16" s="2" t="s">
        <v>111</v>
      </c>
      <c r="D16" s="2" t="s">
        <v>76</v>
      </c>
      <c r="E16" s="2" t="s">
        <v>112</v>
      </c>
      <c r="F16" s="2" t="s">
        <v>68</v>
      </c>
      <c r="G16" s="2" t="s">
        <v>69</v>
      </c>
      <c r="H16" s="2"/>
    </row>
    <row r="17" customFormat="false" ht="46.25" hidden="false" customHeight="false" outlineLevel="0" collapsed="false">
      <c r="A17" s="2" t="n">
        <v>16</v>
      </c>
      <c r="B17" s="2" t="s">
        <v>113</v>
      </c>
      <c r="C17" s="2" t="s">
        <v>114</v>
      </c>
      <c r="D17" s="2" t="s">
        <v>76</v>
      </c>
      <c r="E17" s="2" t="s">
        <v>115</v>
      </c>
      <c r="F17" s="2" t="s">
        <v>68</v>
      </c>
      <c r="G17" s="2" t="s">
        <v>69</v>
      </c>
      <c r="H17" s="2"/>
    </row>
    <row r="18" customFormat="false" ht="46.25" hidden="false" customHeight="false" outlineLevel="0" collapsed="false">
      <c r="A18" s="2" t="n">
        <v>17</v>
      </c>
      <c r="B18" s="2" t="s">
        <v>116</v>
      </c>
      <c r="C18" s="2" t="s">
        <v>117</v>
      </c>
      <c r="D18" s="2" t="s">
        <v>118</v>
      </c>
      <c r="E18" s="2" t="s">
        <v>119</v>
      </c>
      <c r="F18" s="2" t="s">
        <v>68</v>
      </c>
      <c r="G18" s="2" t="s">
        <v>69</v>
      </c>
      <c r="H18" s="2"/>
    </row>
    <row r="19" customFormat="false" ht="35.05" hidden="false" customHeight="false" outlineLevel="0" collapsed="false">
      <c r="A19" s="2" t="n">
        <v>18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68</v>
      </c>
      <c r="G19" s="2" t="s">
        <v>69</v>
      </c>
      <c r="H19" s="2"/>
    </row>
    <row r="20" customFormat="false" ht="46.25" hidden="false" customHeight="false" outlineLevel="0" collapsed="false">
      <c r="A20" s="2" t="n">
        <v>19</v>
      </c>
      <c r="B20" s="2" t="s">
        <v>124</v>
      </c>
      <c r="C20" s="2" t="s">
        <v>65</v>
      </c>
      <c r="D20" s="2" t="s">
        <v>125</v>
      </c>
      <c r="E20" s="2" t="s">
        <v>126</v>
      </c>
      <c r="F20" s="2" t="s">
        <v>68</v>
      </c>
      <c r="G20" s="2" t="s">
        <v>69</v>
      </c>
      <c r="H20" s="2"/>
    </row>
    <row r="21" customFormat="false" ht="57.45" hidden="false" customHeight="false" outlineLevel="0" collapsed="false">
      <c r="A21" s="2" t="n">
        <v>20</v>
      </c>
      <c r="B21" s="2" t="s">
        <v>127</v>
      </c>
      <c r="C21" s="2" t="s">
        <v>65</v>
      </c>
      <c r="D21" s="2" t="s">
        <v>128</v>
      </c>
      <c r="E21" s="2" t="s">
        <v>129</v>
      </c>
      <c r="F21" s="2" t="s">
        <v>68</v>
      </c>
      <c r="G21" s="2" t="s">
        <v>69</v>
      </c>
      <c r="H21" s="2"/>
    </row>
    <row r="22" customFormat="false" ht="46.25" hidden="false" customHeight="false" outlineLevel="0" collapsed="false">
      <c r="A22" s="2" t="n">
        <v>21</v>
      </c>
      <c r="B22" s="2" t="s">
        <v>130</v>
      </c>
      <c r="C22" s="2" t="s">
        <v>131</v>
      </c>
      <c r="D22" s="2" t="s">
        <v>132</v>
      </c>
      <c r="E22" s="2" t="s">
        <v>133</v>
      </c>
      <c r="F22" s="2" t="s">
        <v>68</v>
      </c>
      <c r="G22" s="2" t="s">
        <v>69</v>
      </c>
      <c r="H22" s="2"/>
    </row>
    <row r="23" customFormat="false" ht="57.45" hidden="false" customHeight="false" outlineLevel="0" collapsed="false">
      <c r="A23" s="2" t="n">
        <v>22</v>
      </c>
      <c r="B23" s="2" t="s">
        <v>134</v>
      </c>
      <c r="C23" s="2" t="s">
        <v>135</v>
      </c>
      <c r="D23" s="2" t="s">
        <v>136</v>
      </c>
      <c r="E23" s="2" t="s">
        <v>137</v>
      </c>
      <c r="F23" s="2" t="s">
        <v>68</v>
      </c>
      <c r="G23" s="2" t="s">
        <v>69</v>
      </c>
      <c r="H23" s="2"/>
    </row>
  </sheetData>
  <conditionalFormatting sqref="G2:G23">
    <cfRule type="expression" priority="2" aboveAverage="0" equalAverage="0" bottom="0" percent="0" rank="0" text="" dxfId="0">
      <formula>$G2="Passed"</formula>
    </cfRule>
    <cfRule type="expression" priority="3" aboveAverage="0" equalAverage="0" bottom="0" percent="0" rank="0" text="" dxfId="1">
      <formula>$G2="Failed"</formula>
    </cfRule>
    <cfRule type="expression" priority="4" aboveAverage="0" equalAverage="0" bottom="0" percent="0" rank="0" text="" dxfId="2">
      <formula>$G2="Not executed"</formula>
    </cfRule>
  </conditionalFormatting>
  <dataValidations count="1">
    <dataValidation allowBlank="true" errorStyle="stop" operator="between" showDropDown="false" showErrorMessage="false" showInputMessage="false" sqref="G2:G23" type="list">
      <formula1>"Passed,Failed,Not executed"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4" t="s">
        <v>138</v>
      </c>
      <c r="B1" s="4" t="s">
        <v>139</v>
      </c>
      <c r="C1" s="4" t="s">
        <v>13</v>
      </c>
      <c r="D1" s="4" t="s">
        <v>19</v>
      </c>
      <c r="E1" s="4" t="s">
        <v>69</v>
      </c>
    </row>
    <row r="2" customFormat="false" ht="15" hidden="false" customHeight="false" outlineLevel="0" collapsed="false">
      <c r="A2" s="5" t="s">
        <v>140</v>
      </c>
      <c r="B2" s="5" t="n">
        <f aca="false">COUNTA('API reqres'!G:G)-1</f>
        <v>6</v>
      </c>
      <c r="C2" s="5" t="n">
        <f aca="false">COUNTIF('API reqres'!G:G,"Passed")</f>
        <v>4</v>
      </c>
      <c r="D2" s="5" t="n">
        <f aca="false">COUNTIF('API reqres'!G:G,"Failed")</f>
        <v>2</v>
      </c>
      <c r="E2" s="5" t="n">
        <f aca="false">COUNTIF('API reqres'!G:G,"Not executed")</f>
        <v>0</v>
      </c>
    </row>
    <row r="3" customFormat="false" ht="15" hidden="false" customHeight="false" outlineLevel="0" collapsed="false">
      <c r="A3" s="5" t="s">
        <v>141</v>
      </c>
      <c r="B3" s="5" t="n">
        <f aca="false">COUNTA('Login SauceDemo'!G:G)-1</f>
        <v>7</v>
      </c>
      <c r="C3" s="5" t="n">
        <f aca="false">COUNTIF('Login SauceDemo'!G:G,"Passed")</f>
        <v>7</v>
      </c>
      <c r="D3" s="5" t="n">
        <f aca="false">COUNTIF('Login SauceDemo'!G:G,"Failed")</f>
        <v>0</v>
      </c>
      <c r="E3" s="5" t="n">
        <f aca="false">COUNTIF('Login SauceDemo'!G:G,"Not executed")</f>
        <v>0</v>
      </c>
    </row>
    <row r="4" customFormat="false" ht="15" hidden="false" customHeight="false" outlineLevel="0" collapsed="false">
      <c r="A4" s="5" t="s">
        <v>142</v>
      </c>
      <c r="B4" s="5" t="n">
        <f aca="false">COUNTA(MakersPay!G:G)-1</f>
        <v>22</v>
      </c>
      <c r="C4" s="5" t="n">
        <f aca="false">COUNTIF(MakersPay!G:G,"Passed")</f>
        <v>0</v>
      </c>
      <c r="D4" s="5" t="n">
        <f aca="false">COUNTIF(MakersPay!G:G,"Failed")</f>
        <v>0</v>
      </c>
      <c r="E4" s="5" t="n">
        <f aca="false">COUNTIF(MakersPay!G:G,"Not executed")</f>
        <v>22</v>
      </c>
    </row>
    <row r="5" customFormat="false" ht="15" hidden="false" customHeight="false" outlineLevel="0" collapsed="false">
      <c r="A5" s="6" t="s">
        <v>139</v>
      </c>
      <c r="B5" s="6" t="n">
        <f aca="false">SUM(B2:B4)</f>
        <v>35</v>
      </c>
      <c r="C5" s="6" t="n">
        <f aca="false">SUM(C2:C4)</f>
        <v>11</v>
      </c>
      <c r="D5" s="6" t="n">
        <f aca="false">SUM(D2:D4)</f>
        <v>2</v>
      </c>
      <c r="E5" s="6" t="n">
        <f aca="false">SUM(E2:E4)</f>
        <v>22</v>
      </c>
    </row>
    <row r="7" customFormat="false" ht="15" hidden="false" customHeight="false" outlineLevel="0" collapsed="false">
      <c r="A7" s="7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2026-10-10T00:45:16Z</dcterms:created>
  <dc:creator>openpyxl</dc:creator>
  <dc:description/>
  <dc:language>en-US</dc:language>
  <cp:lastModifiedBy/>
  <dcterms:modified xsi:type="dcterms:W3CDTF">2026-10-10T00:45:16Z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